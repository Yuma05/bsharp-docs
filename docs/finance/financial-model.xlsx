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前提" sheetId="2" state="visible" r:id="rId2"/>
    <sheet name="PL" sheetId="3" state="visible" r:id="rId3"/>
    <sheet name="C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%"/>
    <numFmt numFmtId="166" formatCode="0.0%"/>
    <numFmt numFmtId="167" formatCode="#,##0;(#,##0);&quot;-&quot;"/>
    <numFmt numFmtId="168" formatCode="#,##0.0;(#,##0.0);&quot;-&quot;"/>
    <numFmt numFmtId="169" formatCode="&quot;M&quot;0"/>
  </numFmts>
  <fonts count="8">
    <font>
      <name val="Calibri"/>
      <family val="2"/>
      <color theme="1"/>
      <sz val="11"/>
      <scheme val="minor"/>
    </font>
    <font>
      <name val="Yu Gothic"/>
      <b val="1"/>
      <color rgb="002D3436"/>
      <sz val="14"/>
    </font>
    <font>
      <name val="Yu Gothic"/>
      <color rgb="00636E72"/>
      <sz val="8"/>
    </font>
    <font>
      <name val="Yu Gothic"/>
      <b val="1"/>
      <color rgb="002D3436"/>
      <sz val="9"/>
    </font>
    <font>
      <name val="Yu Gothic"/>
      <b val="1"/>
      <color rgb="002D3436"/>
      <sz val="10"/>
    </font>
    <font>
      <name val="Yu Gothic"/>
      <color rgb="002D3436"/>
      <sz val="9"/>
    </font>
    <font>
      <name val="Yu Gothic"/>
      <color rgb="002D6CDF"/>
      <sz val="9"/>
    </font>
    <font>
      <name val="Yu Gothic"/>
      <color rgb="000D7C66"/>
      <sz val="9"/>
    </font>
  </fonts>
  <fills count="5">
    <fill>
      <patternFill/>
    </fill>
    <fill>
      <patternFill patternType="gray125"/>
    </fill>
    <fill>
      <patternFill patternType="solid">
        <fgColor rgb="00F1F2F6"/>
      </patternFill>
    </fill>
    <fill>
      <patternFill patternType="solid">
        <fgColor rgb="00E8ECF0"/>
      </patternFill>
    </fill>
    <fill>
      <patternFill patternType="solid">
        <fgColor rgb="00EBF5FB"/>
      </patternFill>
    </fill>
  </fills>
  <borders count="7">
    <border>
      <left/>
      <right/>
      <top/>
      <bottom/>
      <diagonal/>
    </border>
    <border>
      <left style="medium">
        <color rgb="002D6CDF"/>
      </left>
    </border>
    <border>
      <bottom style="thin">
        <color rgb="00E0E0E0"/>
      </bottom>
    </border>
    <border>
      <bottom style="thin">
        <color rgb="00B0B0B0"/>
      </bottom>
    </border>
    <border>
      <left/>
      <right style="thin">
        <color rgb="00B0B0B0"/>
      </right>
      <top/>
      <bottom/>
    </border>
    <border>
      <right style="thin">
        <color rgb="00B0B0B0"/>
      </right>
      <bottom style="thin">
        <color rgb="00E0E0E0"/>
      </bottom>
    </border>
    <border>
      <right style="thin">
        <color rgb="00B0B0B0"/>
      </right>
      <bottom style="thin">
        <color rgb="00B0B0B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0" borderId="0" pivotButton="0" quotePrefix="0" xfId="0"/>
    <xf numFmtId="167" fontId="7" fillId="4" borderId="2" pivotButton="0" quotePrefix="0" xfId="0"/>
    <xf numFmtId="169" fontId="7" fillId="4" borderId="2" pivotButton="0" quotePrefix="0" xfId="0"/>
    <xf numFmtId="168" fontId="7" fillId="4" borderId="2" pivotButton="0" quotePrefix="0" xfId="0"/>
    <xf numFmtId="0" fontId="4" fillId="3" borderId="1" applyAlignment="1" pivotButton="0" quotePrefix="0" xfId="0">
      <alignment vertical="center"/>
    </xf>
    <xf numFmtId="0" fontId="0" fillId="3" borderId="0" pivotButton="0" quotePrefix="0" xfId="0"/>
    <xf numFmtId="164" fontId="6" fillId="4" borderId="2" pivotButton="0" quotePrefix="0" xfId="0"/>
    <xf numFmtId="3" fontId="6" fillId="0" borderId="2" pivotButton="0" quotePrefix="0" xfId="0"/>
    <xf numFmtId="3" fontId="6" fillId="4" borderId="2" pivotButton="0" quotePrefix="0" xfId="0"/>
    <xf numFmtId="10" fontId="6" fillId="4" borderId="2" pivotButton="0" quotePrefix="0" xfId="0"/>
    <xf numFmtId="165" fontId="6" fillId="0" borderId="2" pivotButton="0" quotePrefix="0" xfId="0"/>
    <xf numFmtId="166" fontId="6" fillId="0" borderId="2" pivotButton="0" quotePrefix="0" xfId="0"/>
    <xf numFmtId="10" fontId="6" fillId="0" borderId="2" pivotButton="0" quotePrefix="0" xfId="0"/>
    <xf numFmtId="164" fontId="6" fillId="0" borderId="2" pivotButton="0" quotePrefix="0" xfId="0"/>
    <xf numFmtId="9" fontId="6" fillId="0" borderId="2" pivotButton="0" quotePrefix="0" xfId="0"/>
    <xf numFmtId="167" fontId="6" fillId="0" borderId="2" pivotButton="0" quotePrefix="0" xfId="0"/>
    <xf numFmtId="0" fontId="5" fillId="0" borderId="2" applyAlignment="1" pivotButton="0" quotePrefix="0" xfId="0">
      <alignment horizontal="center"/>
    </xf>
    <xf numFmtId="167" fontId="5" fillId="0" borderId="2" pivotButton="0" quotePrefix="0" xfId="0"/>
    <xf numFmtId="166" fontId="5" fillId="0" borderId="2" pivotButton="0" quotePrefix="0" xfId="0"/>
    <xf numFmtId="167" fontId="3" fillId="4" borderId="3" pivotButton="0" quotePrefix="0" xfId="0"/>
    <xf numFmtId="0" fontId="0" fillId="2" borderId="0" pivotButton="0" quotePrefix="0" xfId="0"/>
    <xf numFmtId="0" fontId="3" fillId="2" borderId="4" applyAlignment="1" pivotButton="0" quotePrefix="0" xfId="0">
      <alignment horizontal="center"/>
    </xf>
    <xf numFmtId="0" fontId="0" fillId="3" borderId="4" pivotButton="0" quotePrefix="0" xfId="0"/>
    <xf numFmtId="167" fontId="5" fillId="0" borderId="5" pivotButton="0" quotePrefix="0" xfId="0"/>
    <xf numFmtId="10" fontId="5" fillId="0" borderId="2" pivotButton="0" quotePrefix="0" xfId="0"/>
    <xf numFmtId="10" fontId="5" fillId="0" borderId="5" pivotButton="0" quotePrefix="0" xfId="0"/>
    <xf numFmtId="168" fontId="5" fillId="0" borderId="2" pivotButton="0" quotePrefix="0" xfId="0"/>
    <xf numFmtId="168" fontId="5" fillId="0" borderId="5" pivotButton="0" quotePrefix="0" xfId="0"/>
    <xf numFmtId="0" fontId="3" fillId="0" borderId="0" pivotButton="0" quotePrefix="0" xfId="0"/>
    <xf numFmtId="168" fontId="3" fillId="0" borderId="3" pivotButton="0" quotePrefix="0" xfId="0"/>
    <xf numFmtId="168" fontId="3" fillId="0" borderId="6" pivotButton="0" quotePrefix="0" xfId="0"/>
    <xf numFmtId="167" fontId="3" fillId="0" borderId="3" pivotButton="0" quotePrefix="0" xfId="0"/>
    <xf numFmtId="167" fontId="3" fillId="0" borderId="6" pivotButton="0" quotePrefix="0" xfId="0"/>
    <xf numFmtId="167" fontId="3" fillId="0" borderId="2" pivotButton="0" quotePrefix="0" xfId="0"/>
    <xf numFmtId="167" fontId="3" fillId="0" borderId="5" pivotButton="0" quotePrefix="0" xfId="0"/>
    <xf numFmtId="167" fontId="7" fillId="0" borderId="2" pivotButton="0" quotePrefix="0" xfId="0"/>
    <xf numFmtId="167" fontId="7" fillId="0" borderId="5" pivotButton="0" quotePrefix="0" xfId="0"/>
    <xf numFmtId="167" fontId="3" fillId="4" borderId="2" pivotButton="0" quotePrefix="0" xfId="0"/>
    <xf numFmtId="167" fontId="3" fillId="4" borderId="5" pivotButton="0" quotePrefix="0" xfId="0"/>
    <xf numFmtId="166" fontId="5" fillId="0" borderId="5" pivotButton="0" quotePrefix="0" xfId="0"/>
    <xf numFmtId="167" fontId="3" fillId="4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3436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52" customWidth="1" min="3" max="3"/>
  </cols>
  <sheetData>
    <row r="1" ht="28" customHeight="1">
      <c r="A1" s="1" t="inlineStr">
        <is>
          <t>Bsharp 財務モデル — サマリー</t>
        </is>
      </c>
    </row>
    <row r="2" ht="18" customHeight="1">
      <c r="A2" s="2" t="inlineStr">
        <is>
          <t>全て自動計算（緑字 = 他シート参照）。感度分析は「前提」シートを編集</t>
        </is>
      </c>
    </row>
    <row r="3" ht="18" customHeight="1">
      <c r="A3" s="3" t="inlineStr">
        <is>
          <t>指標</t>
        </is>
      </c>
      <c r="B3" s="3" t="inlineStr">
        <is>
          <t>値</t>
        </is>
      </c>
      <c r="C3" s="3" t="inlineStr">
        <is>
          <t>備考</t>
        </is>
      </c>
    </row>
    <row r="4" ht="18" customHeight="1">
      <c r="A4" s="4" t="inlineStr">
        <is>
          <t>M12 月商</t>
        </is>
      </c>
      <c r="B4" s="5">
        <f>PL!M17</f>
        <v/>
      </c>
      <c r="C4" s="2" t="inlineStr">
        <is>
          <t>ゴール: ¥300,000</t>
        </is>
      </c>
    </row>
    <row r="5" ht="18" customHeight="1">
      <c r="A5" s="4" t="inlineStr">
        <is>
          <t>M12 営業利益</t>
        </is>
      </c>
      <c r="B5" s="5">
        <f>PL!M31</f>
        <v/>
      </c>
      <c r="C5" s="2" t="inlineStr"/>
    </row>
    <row r="6" ht="18" customHeight="1">
      <c r="A6" s="4" t="inlineStr">
        <is>
          <t>月次黒字化</t>
        </is>
      </c>
      <c r="B6" s="6">
        <f>MATCH(TRUE,INDEX(PL!B31:S31&gt;0,0),0)</f>
        <v/>
      </c>
      <c r="C6" s="2" t="inlineStr">
        <is>
          <t>営業利益が初めて黒字になる月</t>
        </is>
      </c>
    </row>
    <row r="7" ht="18" customHeight="1">
      <c r="A7" s="4" t="inlineStr">
        <is>
          <t>損益分岐 注文数/月</t>
        </is>
      </c>
      <c r="B7" s="7">
        <f>(前提!$B$48+前提!$B$14)/前提!$B$47</f>
        <v/>
      </c>
      <c r="C7" s="2" t="inlineStr">
        <is>
          <t>広告込み固定費 ÷ 貢献利益/注文</t>
        </is>
      </c>
    </row>
    <row r="8" ht="18" customHeight="1">
      <c r="A8" s="4" t="inlineStr">
        <is>
          <t>必要自己資金（資金の谷）</t>
        </is>
      </c>
      <c r="B8" s="5">
        <f>-MIN(CF!B23:T23)</f>
        <v/>
      </c>
      <c r="C8" s="2" t="inlineStr">
        <is>
          <t>累計CFの最大マイナス幅</t>
        </is>
      </c>
    </row>
    <row r="9" ht="18" customHeight="1">
      <c r="A9" s="4" t="inlineStr">
        <is>
          <t>資金の谷の月</t>
        </is>
      </c>
      <c r="B9" s="6">
        <f>MATCH(MIN(CF!B23:T23),CF!B23:T23,0)-1</f>
        <v/>
      </c>
      <c r="C9" s="2" t="inlineStr">
        <is>
          <t>M0起点</t>
        </is>
      </c>
    </row>
    <row r="10" ht="18" customHeight="1">
      <c r="A10" s="4" t="inlineStr">
        <is>
          <t>投資回収（累計CF黒字化）</t>
        </is>
      </c>
      <c r="B10" s="6">
        <f>IFERROR(MATCH(TRUE,INDEX(CF!C23:T23&gt;=0,0),0),"18ヶ月超")</f>
        <v/>
      </c>
      <c r="C10" s="2" t="inlineStr"/>
    </row>
    <row r="11" ht="18" customHeight="1">
      <c r="A11" s="4" t="inlineStr">
        <is>
          <t>18ヶ月 累計営業利益</t>
        </is>
      </c>
      <c r="B11" s="5">
        <f>PL!S32</f>
        <v/>
      </c>
      <c r="C11" s="2" t="inlineStr"/>
    </row>
    <row r="12" ht="18" customHeight="1">
      <c r="A12" s="4" t="inlineStr">
        <is>
          <t>貢献利益/注文</t>
        </is>
      </c>
      <c r="B12" s="5">
        <f>前提!$B$47</f>
        <v/>
      </c>
      <c r="C12" s="2" t="inlineStr">
        <is>
          <t>前提シートの計算値</t>
        </is>
      </c>
    </row>
    <row r="14">
      <c r="A14" s="2" t="inlineStr">
        <is>
          <t>使い方: 「前提」シートの青字セルを変えると全シートが再計算される。</t>
        </is>
      </c>
    </row>
    <row r="15">
      <c r="A15" s="2" t="inlineStr">
        <is>
          <t>シナリオ係数 0.6 / 1.0 / 1.4 で保守 / 標準 / 強気を切替。</t>
        </is>
      </c>
    </row>
    <row r="16">
      <c r="A16" s="2" t="inlineStr">
        <is>
          <t>構造の変更（行追加・ロジック変更）は docs/finance/build_financial_model.py を編集して再生成する。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6CDF"/>
    <outlinePr summaryBelow="1" summaryRight="1"/>
    <pageSetUpPr/>
  </sheetPr>
  <dimension ref="A1:F4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52" customWidth="1" min="3" max="3"/>
    <col width="11" customWidth="1" min="4" max="4"/>
    <col width="11" customWidth="1" min="5" max="5"/>
    <col width="11" customWidth="1" min="6" max="6"/>
  </cols>
  <sheetData>
    <row r="1" ht="28" customHeight="1">
      <c r="A1" s="1" t="inlineStr">
        <is>
          <t>Bsharp 財務モデル</t>
        </is>
      </c>
    </row>
    <row r="2" ht="18" customHeight="1">
      <c r="A2" s="2" t="inlineStr">
        <is>
          <t>前提条件・入力パラメータ（青字 = 可変入力セル / 黒 = 自動計算）</t>
        </is>
      </c>
    </row>
    <row r="3" ht="18" customHeight="1">
      <c r="A3" s="3" t="inlineStr">
        <is>
          <t>パラメータ</t>
        </is>
      </c>
      <c r="B3" s="3" t="inlineStr">
        <is>
          <t>値</t>
        </is>
      </c>
      <c r="C3" s="3" t="inlineStr">
        <is>
          <t>備考</t>
        </is>
      </c>
    </row>
    <row r="4" ht="22" customHeight="1">
      <c r="A4" s="8" t="inlineStr">
        <is>
          <t>売上サイド</t>
        </is>
      </c>
      <c r="B4" s="9" t="n"/>
      <c r="C4" s="9" t="n"/>
      <c r="D4" s="9" t="n"/>
      <c r="E4" s="9" t="n"/>
      <c r="F4" s="9" t="n"/>
    </row>
    <row r="5" ht="18" customHeight="1">
      <c r="A5" s="4" t="inlineStr">
        <is>
          <t>シナリオ係数（セッションに乗算）</t>
        </is>
      </c>
      <c r="B5" s="10" t="n">
        <v>1</v>
      </c>
      <c r="C5" s="2" t="inlineStr">
        <is>
          <t>保守0.6 / 標準1.0 / 強気1.4</t>
        </is>
      </c>
    </row>
    <row r="6" ht="18" customHeight="1">
      <c r="A6" s="4" t="inlineStr">
        <is>
          <t>セッション数 初月(M1)</t>
        </is>
      </c>
      <c r="B6" s="11" t="n">
        <v>400</v>
      </c>
      <c r="C6" s="2" t="inlineStr">
        <is>
          <t>知人・コミュニティ告知込み</t>
        </is>
      </c>
    </row>
    <row r="7" ht="18" customHeight="1">
      <c r="A7" s="4" t="inlineStr">
        <is>
          <t>セッション数 月次増分</t>
        </is>
      </c>
      <c r="B7" s="12" t="n">
        <v>320</v>
      </c>
      <c r="C7" s="2" t="inlineStr">
        <is>
          <t>週3〜4本のリール/ショート+月2〜4本ブログ前提</t>
        </is>
      </c>
    </row>
    <row r="8" ht="18" customHeight="1">
      <c r="A8" s="4" t="inlineStr">
        <is>
          <t>CVRベース（オーガニック）</t>
        </is>
      </c>
      <c r="B8" s="13" t="n">
        <v>0.012</v>
      </c>
      <c r="C8" s="2" t="inlineStr">
        <is>
          <t>EC相場1%への上振れ仮説</t>
        </is>
      </c>
    </row>
    <row r="9" ht="18" customHeight="1">
      <c r="A9" s="4" t="inlineStr">
        <is>
          <t>CVR月次改善（M4以降/月）</t>
        </is>
      </c>
      <c r="B9" s="14" t="n">
        <v>0.00011</v>
      </c>
      <c r="C9" s="2" t="inlineStr">
        <is>
          <t>レビュー・実績蓄積効果。M12で約1.3%</t>
        </is>
      </c>
    </row>
    <row r="10" ht="18" customHeight="1">
      <c r="A10" s="4" t="inlineStr">
        <is>
          <t>知人ブースト注文 M1</t>
        </is>
      </c>
      <c r="B10" s="11" t="n">
        <v>6</v>
      </c>
      <c r="C10" s="2" t="inlineStr">
        <is>
          <t>開店告知の初期注文</t>
        </is>
      </c>
    </row>
    <row r="11" ht="18" customHeight="1">
      <c r="A11" s="4" t="inlineStr">
        <is>
          <t>知人ブースト注文 M2</t>
        </is>
      </c>
      <c r="B11" s="11" t="n">
        <v>3</v>
      </c>
      <c r="C11" s="2" t="inlineStr"/>
    </row>
    <row r="12" ht="18" customHeight="1">
      <c r="A12" s="4" t="inlineStr">
        <is>
          <t>月次リピート率</t>
        </is>
      </c>
      <c r="B12" s="15" t="n">
        <v>0.03</v>
      </c>
      <c r="C12" s="2" t="inlineStr">
        <is>
          <t>累計購入者に対する月次再購入率</t>
        </is>
      </c>
    </row>
    <row r="13" ht="18" customHeight="1">
      <c r="A13" s="4" t="inlineStr">
        <is>
          <t>広告開始月</t>
        </is>
      </c>
      <c r="B13" s="11" t="n">
        <v>3</v>
      </c>
      <c r="C13" s="2" t="inlineStr">
        <is>
          <t>オーディエンス1,000人ゲート。目安M3</t>
        </is>
      </c>
    </row>
    <row r="14" ht="18" customHeight="1">
      <c r="A14" s="4" t="inlineStr">
        <is>
          <t>広告費/月（Meta・リタゲ中心）</t>
        </is>
      </c>
      <c r="B14" s="11" t="n">
        <v>10000</v>
      </c>
      <c r="C14" s="2" t="inlineStr">
        <is>
          <t>確定方針</t>
        </is>
      </c>
    </row>
    <row r="15" ht="18" customHeight="1">
      <c r="A15" s="4" t="inlineStr">
        <is>
          <t>リタゲCPC</t>
        </is>
      </c>
      <c r="B15" s="11" t="n">
        <v>60</v>
      </c>
      <c r="C15" s="2" t="inlineStr">
        <is>
          <t>相場仮説</t>
        </is>
      </c>
    </row>
    <row r="16" ht="18" customHeight="1">
      <c r="A16" s="4" t="inlineStr">
        <is>
          <t>リタゲCVR</t>
        </is>
      </c>
      <c r="B16" s="15" t="n">
        <v>0.03</v>
      </c>
      <c r="C16" s="2" t="inlineStr">
        <is>
          <t>相場仮説</t>
        </is>
      </c>
    </row>
    <row r="17" ht="22" customHeight="1">
      <c r="A17" s="8" t="inlineStr">
        <is>
          <t>コストサイド</t>
        </is>
      </c>
      <c r="B17" s="9" t="n"/>
      <c r="C17" s="9" t="n"/>
      <c r="D17" s="9" t="n"/>
      <c r="E17" s="9" t="n"/>
      <c r="F17" s="9" t="n"/>
    </row>
    <row r="18" ht="18" customHeight="1">
      <c r="A18" s="4" t="inlineStr">
        <is>
          <t>仕入掛率</t>
        </is>
      </c>
      <c r="B18" s="10" t="n">
        <v>0.6</v>
      </c>
      <c r="C18" s="2" t="inlineStr">
        <is>
          <t>全件交渉未確定。最重要感度変数</t>
        </is>
      </c>
    </row>
    <row r="19" ht="18" customHeight="1">
      <c r="A19" s="4" t="inlineStr">
        <is>
          <t>決済手数料率</t>
        </is>
      </c>
      <c r="B19" s="16" t="n">
        <v>0.0355</v>
      </c>
      <c r="C19" s="2" t="inlineStr">
        <is>
          <t>Shopify Payments Basic 国内カード（確定）</t>
        </is>
      </c>
    </row>
    <row r="20" ht="18" customHeight="1">
      <c r="A20" s="4" t="inlineStr">
        <is>
          <t>破損・不良率（商品売上比）</t>
        </is>
      </c>
      <c r="B20" s="15" t="n">
        <v>0.015</v>
      </c>
      <c r="C20" s="2" t="inlineStr">
        <is>
          <t>再送コスト込みの引当</t>
        </is>
      </c>
    </row>
    <row r="21" ht="18" customHeight="1">
      <c r="A21" s="4" t="inlineStr">
        <is>
          <t>顧客負担送料（未到達時・全国一律）</t>
        </is>
      </c>
      <c r="B21" s="11" t="n">
        <v>880</v>
      </c>
      <c r="C21" s="2" t="inlineStr">
        <is>
          <t>設計値</t>
        </is>
      </c>
    </row>
    <row r="22" ht="18" customHeight="1">
      <c r="A22" s="4" t="inlineStr">
        <is>
          <t>送料無料ライン</t>
        </is>
      </c>
      <c r="B22" s="12" t="n">
        <v>11000</v>
      </c>
      <c r="C22" s="2" t="inlineStr">
        <is>
          <t>高ライン=送料収入最大化。到達率≈0%。詳細は02</t>
        </is>
      </c>
    </row>
    <row r="23" ht="18" customHeight="1">
      <c r="A23" s="4" t="inlineStr">
        <is>
          <t>仕入送料/発注回</t>
        </is>
      </c>
      <c r="B23" s="11" t="n">
        <v>2000</v>
      </c>
      <c r="C23" s="2" t="inlineStr">
        <is>
          <t>仕入れ先条件で置換</t>
        </is>
      </c>
    </row>
    <row r="24" ht="22" customHeight="1">
      <c r="A24" s="8" t="inlineStr">
        <is>
          <t>固定費（月次）</t>
        </is>
      </c>
      <c r="B24" s="9" t="n"/>
      <c r="C24" s="9" t="n"/>
      <c r="D24" s="9" t="n"/>
      <c r="E24" s="9" t="n"/>
      <c r="F24" s="9" t="n"/>
    </row>
    <row r="25" ht="18" customHeight="1">
      <c r="A25" s="4" t="inlineStr">
        <is>
          <t>Shopify Basic（年払い月割）</t>
        </is>
      </c>
      <c r="B25" s="11" t="n">
        <v>3650</v>
      </c>
      <c r="C25" s="2" t="inlineStr">
        <is>
          <t>現金は年1回¥43,800</t>
        </is>
      </c>
    </row>
    <row r="26" ht="18" customHeight="1">
      <c r="A26" s="4" t="inlineStr">
        <is>
          <t>独自ドメイン（月割）</t>
        </is>
      </c>
      <c r="B26" s="11" t="n">
        <v>170</v>
      </c>
      <c r="C26" s="2" t="inlineStr">
        <is>
          <t>現金は年1回¥2,000</t>
        </is>
      </c>
    </row>
    <row r="27" ht="18" customHeight="1">
      <c r="A27" s="4" t="inlineStr">
        <is>
          <t>撮影ランニング</t>
        </is>
      </c>
      <c r="B27" s="11" t="n">
        <v>5000</v>
      </c>
      <c r="C27" s="2" t="inlineStr">
        <is>
          <t>スタジオ2〜3回/年+撮影消耗品の月割</t>
        </is>
      </c>
    </row>
    <row r="28" ht="22" customHeight="1">
      <c r="A28" s="8" t="inlineStr">
        <is>
          <t>初期投資・CF設定</t>
        </is>
      </c>
      <c r="B28" s="9" t="n"/>
      <c r="C28" s="9" t="n"/>
      <c r="D28" s="9" t="n"/>
      <c r="E28" s="9" t="n"/>
      <c r="F28" s="9" t="n"/>
    </row>
    <row r="29" ht="18" customHeight="1">
      <c r="A29" s="4" t="inlineStr">
        <is>
          <t>初期仕入（原価）</t>
        </is>
      </c>
      <c r="B29" s="11" t="n">
        <v>440000</v>
      </c>
      <c r="C29" s="2" t="inlineStr">
        <is>
          <t>縮小・回転型: 主力10SKU×10個+他20SKU×5〜6個</t>
        </is>
      </c>
    </row>
    <row r="30" ht="18" customHeight="1">
      <c r="A30" s="4" t="inlineStr">
        <is>
          <t>撮影初期（キービジュアル・備品）</t>
        </is>
      </c>
      <c r="B30" s="11" t="n">
        <v>75000</v>
      </c>
      <c r="C30" s="2" t="inlineStr"/>
    </row>
    <row r="31" ht="18" customHeight="1">
      <c r="A31" s="4" t="inlineStr">
        <is>
          <t>梱包資材 初期ロット</t>
        </is>
      </c>
      <c r="B31" s="11" t="n">
        <v>40000</v>
      </c>
      <c r="C31" s="2" t="inlineStr">
        <is>
          <t>月次資材費はこの在庫を消化後に現金化</t>
        </is>
      </c>
    </row>
    <row r="32" ht="18" customHeight="1">
      <c r="A32" s="4" t="inlineStr">
        <is>
          <t>開業その他</t>
        </is>
      </c>
      <c r="B32" s="11" t="n">
        <v>10000</v>
      </c>
      <c r="C32" s="2" t="inlineStr">
        <is>
          <t>名刺・印鑑等</t>
        </is>
      </c>
    </row>
    <row r="33" ht="18" customHeight="1">
      <c r="A33" s="4" t="inlineStr">
        <is>
          <t>Shopify 年払い額</t>
        </is>
      </c>
      <c r="B33" s="11" t="n">
        <v>43800</v>
      </c>
      <c r="C33" s="2" t="inlineStr">
        <is>
          <t>M0とM12に支払</t>
        </is>
      </c>
    </row>
    <row r="34" ht="18" customHeight="1">
      <c r="A34" s="4" t="inlineStr">
        <is>
          <t>ドメイン 年額</t>
        </is>
      </c>
      <c r="B34" s="11" t="n">
        <v>2000</v>
      </c>
      <c r="C34" s="2" t="inlineStr">
        <is>
          <t>M0とM12に支払</t>
        </is>
      </c>
    </row>
    <row r="35" ht="18" customHeight="1">
      <c r="A35" s="4" t="inlineStr">
        <is>
          <t>在庫カバー月数（発注基準）</t>
        </is>
      </c>
      <c r="B35" s="17" t="n">
        <v>2</v>
      </c>
      <c r="C35" s="2" t="inlineStr">
        <is>
          <t>期末在庫≥翌月原価×この月数となるよう発注</t>
        </is>
      </c>
    </row>
    <row r="36" ht="22" customHeight="1">
      <c r="A36" s="8" t="inlineStr">
        <is>
          <t>注文構成（送料無料ライン到達は自動判定）</t>
        </is>
      </c>
      <c r="B36" s="9" t="n"/>
      <c r="C36" s="9" t="n"/>
      <c r="D36" s="9" t="n"/>
      <c r="E36" s="9" t="n"/>
      <c r="F36" s="9" t="n"/>
    </row>
    <row r="37" ht="18" customHeight="1">
      <c r="A37" s="3" t="inlineStr">
        <is>
          <t>バケット</t>
        </is>
      </c>
      <c r="B37" s="3" t="inlineStr">
        <is>
          <t>構成比</t>
        </is>
      </c>
      <c r="C37" s="3" t="inlineStr">
        <is>
          <t>注文額</t>
        </is>
      </c>
      <c r="D37" s="3" t="inlineStr">
        <is>
          <t>送料実費</t>
        </is>
      </c>
      <c r="E37" s="3" t="inlineStr">
        <is>
          <t>資材費</t>
        </is>
      </c>
      <c r="F37" s="3" t="inlineStr">
        <is>
          <t>到達フラグ</t>
        </is>
      </c>
    </row>
    <row r="38" ht="18" customHeight="1">
      <c r="A38" s="4" t="inlineStr">
        <is>
          <t>1点買い（60〜80サイズ）</t>
        </is>
      </c>
      <c r="B38" s="18" t="n">
        <v>0.5</v>
      </c>
      <c r="C38" s="19" t="n">
        <v>3000</v>
      </c>
      <c r="D38" s="19" t="n">
        <v>870</v>
      </c>
      <c r="E38" s="19" t="n">
        <v>250</v>
      </c>
      <c r="F38" s="20">
        <f>IF(C38&gt;=B22,1,0)</f>
        <v/>
      </c>
    </row>
    <row r="39" ht="18" customHeight="1">
      <c r="A39" s="4" t="inlineStr">
        <is>
          <t>2点買い（80サイズ）</t>
        </is>
      </c>
      <c r="B39" s="18" t="n">
        <v>0.27</v>
      </c>
      <c r="C39" s="19" t="n">
        <v>5800</v>
      </c>
      <c r="D39" s="19" t="n">
        <v>1082</v>
      </c>
      <c r="E39" s="19" t="n">
        <v>320</v>
      </c>
      <c r="F39" s="20">
        <f>IF(C39&gt;=B22,1,0)</f>
        <v/>
      </c>
    </row>
    <row r="40" ht="18" customHeight="1">
      <c r="A40" s="4" t="inlineStr">
        <is>
          <t>3点以上（80〜100サイズ）</t>
        </is>
      </c>
      <c r="B40" s="18" t="n">
        <v>0.23</v>
      </c>
      <c r="C40" s="19" t="n">
        <v>8800</v>
      </c>
      <c r="D40" s="19" t="n">
        <v>1183</v>
      </c>
      <c r="E40" s="19" t="n">
        <v>420</v>
      </c>
      <c r="F40" s="20">
        <f>IF(C40&gt;=B22,1,0)</f>
        <v/>
      </c>
    </row>
    <row r="41" ht="22" customHeight="1">
      <c r="A41" s="8" t="inlineStr">
        <is>
          <t>計算値（自動・編集不要）</t>
        </is>
      </c>
      <c r="B41" s="9" t="n"/>
      <c r="C41" s="9" t="n"/>
      <c r="D41" s="9" t="n"/>
      <c r="E41" s="9" t="n"/>
      <c r="F41" s="9" t="n"/>
    </row>
    <row r="42" ht="18" customHeight="1">
      <c r="A42" s="4" t="inlineStr">
        <is>
          <t>AOV（平均注文額・商品のみ）</t>
        </is>
      </c>
      <c r="B42" s="21">
        <f>SUMPRODUCT(B38:B40,C38:C40)</f>
        <v/>
      </c>
    </row>
    <row r="43" ht="18" customHeight="1">
      <c r="A43" s="4" t="inlineStr">
        <is>
          <t>送料収入/注文（未到達×顧客負担）</t>
        </is>
      </c>
      <c r="B43" s="21">
        <f>SUMPRODUCT(B38:B40,1-F38:F40)*B21</f>
        <v/>
      </c>
    </row>
    <row r="44" ht="18" customHeight="1">
      <c r="A44" s="4" t="inlineStr">
        <is>
          <t>発送送料実費/注文</t>
        </is>
      </c>
      <c r="B44" s="21">
        <f>SUMPRODUCT(B38:B40,D38:D40)</f>
        <v/>
      </c>
    </row>
    <row r="45" ht="18" customHeight="1">
      <c r="A45" s="4" t="inlineStr">
        <is>
          <t>梱包資材/注文</t>
        </is>
      </c>
      <c r="B45" s="21">
        <f>SUMPRODUCT(B38:B40,E38:E40)</f>
        <v/>
      </c>
    </row>
    <row r="46" ht="18" customHeight="1">
      <c r="A46" s="4" t="inlineStr">
        <is>
          <t>無料ライン到達率</t>
        </is>
      </c>
      <c r="B46" s="22">
        <f>SUMPRODUCT(B38:B40,F38:F40)</f>
        <v/>
      </c>
    </row>
    <row r="47" ht="18" customHeight="1">
      <c r="A47" s="4" t="inlineStr">
        <is>
          <t>貢献利益/注文</t>
        </is>
      </c>
      <c r="B47" s="23">
        <f>B42+B43-B42*B18-(B42+B43)*B19-B44-B45-B42*B20</f>
        <v/>
      </c>
    </row>
    <row r="48" ht="18" customHeight="1">
      <c r="A48" s="4" t="inlineStr">
        <is>
          <t>固定費 月計（広告除く）</t>
        </is>
      </c>
      <c r="B48" s="21">
        <f>B25+B26+B27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7C66"/>
    <outlinePr summaryBelow="1" summaryRight="1"/>
    <pageSetUpPr/>
  </sheetPr>
  <dimension ref="A1:S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月次PL（M1〜M18）</t>
        </is>
      </c>
    </row>
    <row r="2" ht="18" customHeight="1">
      <c r="A2" s="24" t="inlineStr"/>
      <c r="B2" s="3" t="inlineStr">
        <is>
          <t>M1</t>
        </is>
      </c>
      <c r="C2" s="3" t="inlineStr">
        <is>
          <t>M2</t>
        </is>
      </c>
      <c r="D2" s="3" t="inlineStr">
        <is>
          <t>M3</t>
        </is>
      </c>
      <c r="E2" s="3" t="inlineStr">
        <is>
          <t>M4</t>
        </is>
      </c>
      <c r="F2" s="3" t="inlineStr">
        <is>
          <t>M5</t>
        </is>
      </c>
      <c r="G2" s="3" t="inlineStr">
        <is>
          <t>M6</t>
        </is>
      </c>
      <c r="H2" s="3" t="inlineStr">
        <is>
          <t>M7</t>
        </is>
      </c>
      <c r="I2" s="3" t="inlineStr">
        <is>
          <t>M8</t>
        </is>
      </c>
      <c r="J2" s="3" t="inlineStr">
        <is>
          <t>M9</t>
        </is>
      </c>
      <c r="K2" s="3" t="inlineStr">
        <is>
          <t>M10</t>
        </is>
      </c>
      <c r="L2" s="3" t="inlineStr">
        <is>
          <t>M11</t>
        </is>
      </c>
      <c r="M2" s="25" t="inlineStr">
        <is>
          <t>M12</t>
        </is>
      </c>
      <c r="N2" s="3" t="inlineStr">
        <is>
          <t>M13</t>
        </is>
      </c>
      <c r="O2" s="3" t="inlineStr">
        <is>
          <t>M14</t>
        </is>
      </c>
      <c r="P2" s="3" t="inlineStr">
        <is>
          <t>M15</t>
        </is>
      </c>
      <c r="Q2" s="3" t="inlineStr">
        <is>
          <t>M16</t>
        </is>
      </c>
      <c r="R2" s="3" t="inlineStr">
        <is>
          <t>M17</t>
        </is>
      </c>
      <c r="S2" s="3" t="inlineStr">
        <is>
          <t>M18</t>
        </is>
      </c>
    </row>
    <row r="3" ht="22" customHeight="1">
      <c r="A3" s="8" t="inlineStr">
        <is>
          <t>集客・注文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26" t="n"/>
      <c r="N3" s="9" t="n"/>
      <c r="O3" s="9" t="n"/>
      <c r="P3" s="9" t="n"/>
      <c r="Q3" s="9" t="n"/>
      <c r="R3" s="9" t="n"/>
      <c r="S3" s="9" t="n"/>
    </row>
    <row r="4" ht="18" customHeight="1">
      <c r="A4" s="4" t="inlineStr">
        <is>
          <t>セッション数</t>
        </is>
      </c>
      <c r="B4" s="21">
        <f>ROUND((前提!$B$6+前提!$B$7*0)*前提!$B$5,0)</f>
        <v/>
      </c>
      <c r="C4" s="21">
        <f>ROUND((前提!$B$6+前提!$B$7*1)*前提!$B$5,0)</f>
        <v/>
      </c>
      <c r="D4" s="21">
        <f>ROUND((前提!$B$6+前提!$B$7*2)*前提!$B$5,0)</f>
        <v/>
      </c>
      <c r="E4" s="21">
        <f>ROUND((前提!$B$6+前提!$B$7*3)*前提!$B$5,0)</f>
        <v/>
      </c>
      <c r="F4" s="21">
        <f>ROUND((前提!$B$6+前提!$B$7*4)*前提!$B$5,0)</f>
        <v/>
      </c>
      <c r="G4" s="21">
        <f>ROUND((前提!$B$6+前提!$B$7*5)*前提!$B$5,0)</f>
        <v/>
      </c>
      <c r="H4" s="21">
        <f>ROUND((前提!$B$6+前提!$B$7*6)*前提!$B$5,0)</f>
        <v/>
      </c>
      <c r="I4" s="21">
        <f>ROUND((前提!$B$6+前提!$B$7*7)*前提!$B$5,0)</f>
        <v/>
      </c>
      <c r="J4" s="21">
        <f>ROUND((前提!$B$6+前提!$B$7*8)*前提!$B$5,0)</f>
        <v/>
      </c>
      <c r="K4" s="21">
        <f>ROUND((前提!$B$6+前提!$B$7*9)*前提!$B$5,0)</f>
        <v/>
      </c>
      <c r="L4" s="21">
        <f>ROUND((前提!$B$6+前提!$B$7*10)*前提!$B$5,0)</f>
        <v/>
      </c>
      <c r="M4" s="27">
        <f>ROUND((前提!$B$6+前提!$B$7*11)*前提!$B$5,0)</f>
        <v/>
      </c>
      <c r="N4" s="21">
        <f>ROUND((前提!$B$6+前提!$B$7*12)*前提!$B$5,0)</f>
        <v/>
      </c>
      <c r="O4" s="21">
        <f>ROUND((前提!$B$6+前提!$B$7*13)*前提!$B$5,0)</f>
        <v/>
      </c>
      <c r="P4" s="21">
        <f>ROUND((前提!$B$6+前提!$B$7*14)*前提!$B$5,0)</f>
        <v/>
      </c>
      <c r="Q4" s="21">
        <f>ROUND((前提!$B$6+前提!$B$7*15)*前提!$B$5,0)</f>
        <v/>
      </c>
      <c r="R4" s="21">
        <f>ROUND((前提!$B$6+前提!$B$7*16)*前提!$B$5,0)</f>
        <v/>
      </c>
      <c r="S4" s="21">
        <f>ROUND((前提!$B$6+前提!$B$7*17)*前提!$B$5,0)</f>
        <v/>
      </c>
    </row>
    <row r="5" ht="18" customHeight="1">
      <c r="A5" s="4" t="inlineStr">
        <is>
          <t>CVR</t>
        </is>
      </c>
      <c r="B5" s="28">
        <f>前提!$B$8+前提!$B$9*0</f>
        <v/>
      </c>
      <c r="C5" s="28">
        <f>前提!$B$8+前提!$B$9*0</f>
        <v/>
      </c>
      <c r="D5" s="28">
        <f>前提!$B$8+前提!$B$9*0</f>
        <v/>
      </c>
      <c r="E5" s="28">
        <f>前提!$B$8+前提!$B$9*1</f>
        <v/>
      </c>
      <c r="F5" s="28">
        <f>前提!$B$8+前提!$B$9*2</f>
        <v/>
      </c>
      <c r="G5" s="28">
        <f>前提!$B$8+前提!$B$9*3</f>
        <v/>
      </c>
      <c r="H5" s="28">
        <f>前提!$B$8+前提!$B$9*4</f>
        <v/>
      </c>
      <c r="I5" s="28">
        <f>前提!$B$8+前提!$B$9*5</f>
        <v/>
      </c>
      <c r="J5" s="28">
        <f>前提!$B$8+前提!$B$9*6</f>
        <v/>
      </c>
      <c r="K5" s="28">
        <f>前提!$B$8+前提!$B$9*7</f>
        <v/>
      </c>
      <c r="L5" s="28">
        <f>前提!$B$8+前提!$B$9*8</f>
        <v/>
      </c>
      <c r="M5" s="29">
        <f>前提!$B$8+前提!$B$9*9</f>
        <v/>
      </c>
      <c r="N5" s="28">
        <f>前提!$B$8+前提!$B$9*10</f>
        <v/>
      </c>
      <c r="O5" s="28">
        <f>前提!$B$8+前提!$B$9*11</f>
        <v/>
      </c>
      <c r="P5" s="28">
        <f>前提!$B$8+前提!$B$9*12</f>
        <v/>
      </c>
      <c r="Q5" s="28">
        <f>前提!$B$8+前提!$B$9*13</f>
        <v/>
      </c>
      <c r="R5" s="28">
        <f>前提!$B$8+前提!$B$9*14</f>
        <v/>
      </c>
      <c r="S5" s="28">
        <f>前提!$B$8+前提!$B$9*15</f>
        <v/>
      </c>
    </row>
    <row r="6" ht="18" customHeight="1">
      <c r="A6" s="4" t="inlineStr">
        <is>
          <t xml:space="preserve">  オーガニック新規注文</t>
        </is>
      </c>
      <c r="B6" s="30">
        <f>B4*B5</f>
        <v/>
      </c>
      <c r="C6" s="30">
        <f>C4*C5</f>
        <v/>
      </c>
      <c r="D6" s="30">
        <f>D4*D5</f>
        <v/>
      </c>
      <c r="E6" s="30">
        <f>E4*E5</f>
        <v/>
      </c>
      <c r="F6" s="30">
        <f>F4*F5</f>
        <v/>
      </c>
      <c r="G6" s="30">
        <f>G4*G5</f>
        <v/>
      </c>
      <c r="H6" s="30">
        <f>H4*H5</f>
        <v/>
      </c>
      <c r="I6" s="30">
        <f>I4*I5</f>
        <v/>
      </c>
      <c r="J6" s="30">
        <f>J4*J5</f>
        <v/>
      </c>
      <c r="K6" s="30">
        <f>K4*K5</f>
        <v/>
      </c>
      <c r="L6" s="30">
        <f>L4*L5</f>
        <v/>
      </c>
      <c r="M6" s="31">
        <f>M4*M5</f>
        <v/>
      </c>
      <c r="N6" s="30">
        <f>N4*N5</f>
        <v/>
      </c>
      <c r="O6" s="30">
        <f>O4*O5</f>
        <v/>
      </c>
      <c r="P6" s="30">
        <f>P4*P5</f>
        <v/>
      </c>
      <c r="Q6" s="30">
        <f>Q4*Q5</f>
        <v/>
      </c>
      <c r="R6" s="30">
        <f>R4*R5</f>
        <v/>
      </c>
      <c r="S6" s="30">
        <f>S4*S5</f>
        <v/>
      </c>
    </row>
    <row r="7" ht="18" customHeight="1">
      <c r="A7" s="4" t="inlineStr">
        <is>
          <t xml:space="preserve">  知人ブースト注文</t>
        </is>
      </c>
      <c r="B7" s="30">
        <f>前提!$B$10</f>
        <v/>
      </c>
      <c r="C7" s="30">
        <f>前提!$B$11</f>
        <v/>
      </c>
      <c r="D7" s="30">
        <f>0</f>
        <v/>
      </c>
      <c r="E7" s="30">
        <f>0</f>
        <v/>
      </c>
      <c r="F7" s="30">
        <f>0</f>
        <v/>
      </c>
      <c r="G7" s="30">
        <f>0</f>
        <v/>
      </c>
      <c r="H7" s="30">
        <f>0</f>
        <v/>
      </c>
      <c r="I7" s="30">
        <f>0</f>
        <v/>
      </c>
      <c r="J7" s="30">
        <f>0</f>
        <v/>
      </c>
      <c r="K7" s="30">
        <f>0</f>
        <v/>
      </c>
      <c r="L7" s="30">
        <f>0</f>
        <v/>
      </c>
      <c r="M7" s="31">
        <f>0</f>
        <v/>
      </c>
      <c r="N7" s="30">
        <f>0</f>
        <v/>
      </c>
      <c r="O7" s="30">
        <f>0</f>
        <v/>
      </c>
      <c r="P7" s="30">
        <f>0</f>
        <v/>
      </c>
      <c r="Q7" s="30">
        <f>0</f>
        <v/>
      </c>
      <c r="R7" s="30">
        <f>0</f>
        <v/>
      </c>
      <c r="S7" s="30">
        <f>0</f>
        <v/>
      </c>
    </row>
    <row r="8" ht="18" customHeight="1">
      <c r="A8" s="4" t="inlineStr">
        <is>
          <t xml:space="preserve">  リタゲ注文</t>
        </is>
      </c>
      <c r="B8" s="30">
        <f>IF(1&gt;=前提!$B$13,前提!$B$14/前提!$B$15*前提!$B$16,0)</f>
        <v/>
      </c>
      <c r="C8" s="30">
        <f>IF(2&gt;=前提!$B$13,前提!$B$14/前提!$B$15*前提!$B$16,0)</f>
        <v/>
      </c>
      <c r="D8" s="30">
        <f>IF(3&gt;=前提!$B$13,前提!$B$14/前提!$B$15*前提!$B$16,0)</f>
        <v/>
      </c>
      <c r="E8" s="30">
        <f>IF(4&gt;=前提!$B$13,前提!$B$14/前提!$B$15*前提!$B$16,0)</f>
        <v/>
      </c>
      <c r="F8" s="30">
        <f>IF(5&gt;=前提!$B$13,前提!$B$14/前提!$B$15*前提!$B$16,0)</f>
        <v/>
      </c>
      <c r="G8" s="30">
        <f>IF(6&gt;=前提!$B$13,前提!$B$14/前提!$B$15*前提!$B$16,0)</f>
        <v/>
      </c>
      <c r="H8" s="30">
        <f>IF(7&gt;=前提!$B$13,前提!$B$14/前提!$B$15*前提!$B$16,0)</f>
        <v/>
      </c>
      <c r="I8" s="30">
        <f>IF(8&gt;=前提!$B$13,前提!$B$14/前提!$B$15*前提!$B$16,0)</f>
        <v/>
      </c>
      <c r="J8" s="30">
        <f>IF(9&gt;=前提!$B$13,前提!$B$14/前提!$B$15*前提!$B$16,0)</f>
        <v/>
      </c>
      <c r="K8" s="30">
        <f>IF(10&gt;=前提!$B$13,前提!$B$14/前提!$B$15*前提!$B$16,0)</f>
        <v/>
      </c>
      <c r="L8" s="30">
        <f>IF(11&gt;=前提!$B$13,前提!$B$14/前提!$B$15*前提!$B$16,0)</f>
        <v/>
      </c>
      <c r="M8" s="31">
        <f>IF(12&gt;=前提!$B$13,前提!$B$14/前提!$B$15*前提!$B$16,0)</f>
        <v/>
      </c>
      <c r="N8" s="30">
        <f>IF(13&gt;=前提!$B$13,前提!$B$14/前提!$B$15*前提!$B$16,0)</f>
        <v/>
      </c>
      <c r="O8" s="30">
        <f>IF(14&gt;=前提!$B$13,前提!$B$14/前提!$B$15*前提!$B$16,0)</f>
        <v/>
      </c>
      <c r="P8" s="30">
        <f>IF(15&gt;=前提!$B$13,前提!$B$14/前提!$B$15*前提!$B$16,0)</f>
        <v/>
      </c>
      <c r="Q8" s="30">
        <f>IF(16&gt;=前提!$B$13,前提!$B$14/前提!$B$15*前提!$B$16,0)</f>
        <v/>
      </c>
      <c r="R8" s="30">
        <f>IF(17&gt;=前提!$B$13,前提!$B$14/前提!$B$15*前提!$B$16,0)</f>
        <v/>
      </c>
      <c r="S8" s="30">
        <f>IF(18&gt;=前提!$B$13,前提!$B$14/前提!$B$15*前提!$B$16,0)</f>
        <v/>
      </c>
    </row>
    <row r="9" ht="18" customHeight="1">
      <c r="A9" s="32" t="inlineStr">
        <is>
          <t>新規注文 計</t>
        </is>
      </c>
      <c r="B9" s="33">
        <f>SUM(B6:B8)</f>
        <v/>
      </c>
      <c r="C9" s="33">
        <f>SUM(C6:C8)</f>
        <v/>
      </c>
      <c r="D9" s="33">
        <f>SUM(D6:D8)</f>
        <v/>
      </c>
      <c r="E9" s="33">
        <f>SUM(E6:E8)</f>
        <v/>
      </c>
      <c r="F9" s="33">
        <f>SUM(F6:F8)</f>
        <v/>
      </c>
      <c r="G9" s="33">
        <f>SUM(G6:G8)</f>
        <v/>
      </c>
      <c r="H9" s="33">
        <f>SUM(H6:H8)</f>
        <v/>
      </c>
      <c r="I9" s="33">
        <f>SUM(I6:I8)</f>
        <v/>
      </c>
      <c r="J9" s="33">
        <f>SUM(J6:J8)</f>
        <v/>
      </c>
      <c r="K9" s="33">
        <f>SUM(K6:K8)</f>
        <v/>
      </c>
      <c r="L9" s="33">
        <f>SUM(L6:L8)</f>
        <v/>
      </c>
      <c r="M9" s="34">
        <f>SUM(M6:M8)</f>
        <v/>
      </c>
      <c r="N9" s="33">
        <f>SUM(N6:N8)</f>
        <v/>
      </c>
      <c r="O9" s="33">
        <f>SUM(O6:O8)</f>
        <v/>
      </c>
      <c r="P9" s="33">
        <f>SUM(P6:P8)</f>
        <v/>
      </c>
      <c r="Q9" s="33">
        <f>SUM(Q6:Q8)</f>
        <v/>
      </c>
      <c r="R9" s="33">
        <f>SUM(R6:R8)</f>
        <v/>
      </c>
      <c r="S9" s="33">
        <f>SUM(S6:S8)</f>
        <v/>
      </c>
    </row>
    <row r="10" ht="18" customHeight="1">
      <c r="A10" s="4" t="inlineStr">
        <is>
          <t>累計購入者数</t>
        </is>
      </c>
      <c r="B10" s="30">
        <f>B9</f>
        <v/>
      </c>
      <c r="C10" s="30">
        <f>B10+C9</f>
        <v/>
      </c>
      <c r="D10" s="30">
        <f>C10+D9</f>
        <v/>
      </c>
      <c r="E10" s="30">
        <f>D10+E9</f>
        <v/>
      </c>
      <c r="F10" s="30">
        <f>E10+F9</f>
        <v/>
      </c>
      <c r="G10" s="30">
        <f>F10+G9</f>
        <v/>
      </c>
      <c r="H10" s="30">
        <f>G10+H9</f>
        <v/>
      </c>
      <c r="I10" s="30">
        <f>H10+I9</f>
        <v/>
      </c>
      <c r="J10" s="30">
        <f>I10+J9</f>
        <v/>
      </c>
      <c r="K10" s="30">
        <f>J10+K9</f>
        <v/>
      </c>
      <c r="L10" s="30">
        <f>K10+L9</f>
        <v/>
      </c>
      <c r="M10" s="31">
        <f>L10+M9</f>
        <v/>
      </c>
      <c r="N10" s="30">
        <f>M10+N9</f>
        <v/>
      </c>
      <c r="O10" s="30">
        <f>N10+O9</f>
        <v/>
      </c>
      <c r="P10" s="30">
        <f>O10+P9</f>
        <v/>
      </c>
      <c r="Q10" s="30">
        <f>P10+Q9</f>
        <v/>
      </c>
      <c r="R10" s="30">
        <f>Q10+R9</f>
        <v/>
      </c>
      <c r="S10" s="30">
        <f>R10+S9</f>
        <v/>
      </c>
    </row>
    <row r="11" ht="18" customHeight="1">
      <c r="A11" s="4" t="inlineStr">
        <is>
          <t xml:space="preserve">  リピート注文</t>
        </is>
      </c>
      <c r="B11" s="30">
        <f>0</f>
        <v/>
      </c>
      <c r="C11" s="30">
        <f>B10*前提!$B$12</f>
        <v/>
      </c>
      <c r="D11" s="30">
        <f>C10*前提!$B$12</f>
        <v/>
      </c>
      <c r="E11" s="30">
        <f>D10*前提!$B$12</f>
        <v/>
      </c>
      <c r="F11" s="30">
        <f>E10*前提!$B$12</f>
        <v/>
      </c>
      <c r="G11" s="30">
        <f>F10*前提!$B$12</f>
        <v/>
      </c>
      <c r="H11" s="30">
        <f>G10*前提!$B$12</f>
        <v/>
      </c>
      <c r="I11" s="30">
        <f>H10*前提!$B$12</f>
        <v/>
      </c>
      <c r="J11" s="30">
        <f>I10*前提!$B$12</f>
        <v/>
      </c>
      <c r="K11" s="30">
        <f>J10*前提!$B$12</f>
        <v/>
      </c>
      <c r="L11" s="30">
        <f>K10*前提!$B$12</f>
        <v/>
      </c>
      <c r="M11" s="31">
        <f>L10*前提!$B$12</f>
        <v/>
      </c>
      <c r="N11" s="30">
        <f>M10*前提!$B$12</f>
        <v/>
      </c>
      <c r="O11" s="30">
        <f>N10*前提!$B$12</f>
        <v/>
      </c>
      <c r="P11" s="30">
        <f>O10*前提!$B$12</f>
        <v/>
      </c>
      <c r="Q11" s="30">
        <f>P10*前提!$B$12</f>
        <v/>
      </c>
      <c r="R11" s="30">
        <f>Q10*前提!$B$12</f>
        <v/>
      </c>
      <c r="S11" s="30">
        <f>R10*前提!$B$12</f>
        <v/>
      </c>
    </row>
    <row r="12" ht="18" customHeight="1">
      <c r="A12" s="32" t="inlineStr">
        <is>
          <t>総注文数</t>
        </is>
      </c>
      <c r="B12" s="33">
        <f>B9+B11</f>
        <v/>
      </c>
      <c r="C12" s="33">
        <f>C9+C11</f>
        <v/>
      </c>
      <c r="D12" s="33">
        <f>D9+D11</f>
        <v/>
      </c>
      <c r="E12" s="33">
        <f>E9+E11</f>
        <v/>
      </c>
      <c r="F12" s="33">
        <f>F9+F11</f>
        <v/>
      </c>
      <c r="G12" s="33">
        <f>G9+G11</f>
        <v/>
      </c>
      <c r="H12" s="33">
        <f>H9+H11</f>
        <v/>
      </c>
      <c r="I12" s="33">
        <f>I9+I11</f>
        <v/>
      </c>
      <c r="J12" s="33">
        <f>J9+J11</f>
        <v/>
      </c>
      <c r="K12" s="33">
        <f>K9+K11</f>
        <v/>
      </c>
      <c r="L12" s="33">
        <f>L9+L11</f>
        <v/>
      </c>
      <c r="M12" s="34">
        <f>M9+M11</f>
        <v/>
      </c>
      <c r="N12" s="33">
        <f>N9+N11</f>
        <v/>
      </c>
      <c r="O12" s="33">
        <f>O9+O11</f>
        <v/>
      </c>
      <c r="P12" s="33">
        <f>P9+P11</f>
        <v/>
      </c>
      <c r="Q12" s="33">
        <f>Q9+Q11</f>
        <v/>
      </c>
      <c r="R12" s="33">
        <f>R9+R11</f>
        <v/>
      </c>
      <c r="S12" s="33">
        <f>S9+S11</f>
        <v/>
      </c>
    </row>
    <row r="13" ht="22" customHeight="1">
      <c r="A13" s="8" t="inlineStr">
        <is>
          <t>売上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26" t="n"/>
      <c r="N13" s="9" t="n"/>
      <c r="O13" s="9" t="n"/>
      <c r="P13" s="9" t="n"/>
      <c r="Q13" s="9" t="n"/>
      <c r="R13" s="9" t="n"/>
      <c r="S13" s="9" t="n"/>
    </row>
    <row r="14" ht="18" customHeight="1">
      <c r="A14" s="4" t="inlineStr">
        <is>
          <t>AOV</t>
        </is>
      </c>
      <c r="B14" s="21">
        <f>前提!$B$42</f>
        <v/>
      </c>
      <c r="C14" s="21">
        <f>前提!$B$42</f>
        <v/>
      </c>
      <c r="D14" s="21">
        <f>前提!$B$42</f>
        <v/>
      </c>
      <c r="E14" s="21">
        <f>前提!$B$42</f>
        <v/>
      </c>
      <c r="F14" s="21">
        <f>前提!$B$42</f>
        <v/>
      </c>
      <c r="G14" s="21">
        <f>前提!$B$42</f>
        <v/>
      </c>
      <c r="H14" s="21">
        <f>前提!$B$42</f>
        <v/>
      </c>
      <c r="I14" s="21">
        <f>前提!$B$42</f>
        <v/>
      </c>
      <c r="J14" s="21">
        <f>前提!$B$42</f>
        <v/>
      </c>
      <c r="K14" s="21">
        <f>前提!$B$42</f>
        <v/>
      </c>
      <c r="L14" s="21">
        <f>前提!$B$42</f>
        <v/>
      </c>
      <c r="M14" s="27">
        <f>前提!$B$42</f>
        <v/>
      </c>
      <c r="N14" s="21">
        <f>前提!$B$42</f>
        <v/>
      </c>
      <c r="O14" s="21">
        <f>前提!$B$42</f>
        <v/>
      </c>
      <c r="P14" s="21">
        <f>前提!$B$42</f>
        <v/>
      </c>
      <c r="Q14" s="21">
        <f>前提!$B$42</f>
        <v/>
      </c>
      <c r="R14" s="21">
        <f>前提!$B$42</f>
        <v/>
      </c>
      <c r="S14" s="21">
        <f>前提!$B$42</f>
        <v/>
      </c>
    </row>
    <row r="15" ht="18" customHeight="1">
      <c r="A15" s="4" t="inlineStr">
        <is>
          <t xml:space="preserve">  商品売上</t>
        </is>
      </c>
      <c r="B15" s="21">
        <f>B12*B14</f>
        <v/>
      </c>
      <c r="C15" s="21">
        <f>C12*C14</f>
        <v/>
      </c>
      <c r="D15" s="21">
        <f>D12*D14</f>
        <v/>
      </c>
      <c r="E15" s="21">
        <f>E12*E14</f>
        <v/>
      </c>
      <c r="F15" s="21">
        <f>F12*F14</f>
        <v/>
      </c>
      <c r="G15" s="21">
        <f>G12*G14</f>
        <v/>
      </c>
      <c r="H15" s="21">
        <f>H12*H14</f>
        <v/>
      </c>
      <c r="I15" s="21">
        <f>I12*I14</f>
        <v/>
      </c>
      <c r="J15" s="21">
        <f>J12*J14</f>
        <v/>
      </c>
      <c r="K15" s="21">
        <f>K12*K14</f>
        <v/>
      </c>
      <c r="L15" s="21">
        <f>L12*L14</f>
        <v/>
      </c>
      <c r="M15" s="27">
        <f>M12*M14</f>
        <v/>
      </c>
      <c r="N15" s="21">
        <f>N12*N14</f>
        <v/>
      </c>
      <c r="O15" s="21">
        <f>O12*O14</f>
        <v/>
      </c>
      <c r="P15" s="21">
        <f>P12*P14</f>
        <v/>
      </c>
      <c r="Q15" s="21">
        <f>Q12*Q14</f>
        <v/>
      </c>
      <c r="R15" s="21">
        <f>R12*R14</f>
        <v/>
      </c>
      <c r="S15" s="21">
        <f>S12*S14</f>
        <v/>
      </c>
    </row>
    <row r="16" ht="18" customHeight="1">
      <c r="A16" s="4" t="inlineStr">
        <is>
          <t xml:space="preserve">  送料収入</t>
        </is>
      </c>
      <c r="B16" s="21">
        <f>B12*前提!$B$43</f>
        <v/>
      </c>
      <c r="C16" s="21">
        <f>C12*前提!$B$43</f>
        <v/>
      </c>
      <c r="D16" s="21">
        <f>D12*前提!$B$43</f>
        <v/>
      </c>
      <c r="E16" s="21">
        <f>E12*前提!$B$43</f>
        <v/>
      </c>
      <c r="F16" s="21">
        <f>F12*前提!$B$43</f>
        <v/>
      </c>
      <c r="G16" s="21">
        <f>G12*前提!$B$43</f>
        <v/>
      </c>
      <c r="H16" s="21">
        <f>H12*前提!$B$43</f>
        <v/>
      </c>
      <c r="I16" s="21">
        <f>I12*前提!$B$43</f>
        <v/>
      </c>
      <c r="J16" s="21">
        <f>J12*前提!$B$43</f>
        <v/>
      </c>
      <c r="K16" s="21">
        <f>K12*前提!$B$43</f>
        <v/>
      </c>
      <c r="L16" s="21">
        <f>L12*前提!$B$43</f>
        <v/>
      </c>
      <c r="M16" s="27">
        <f>M12*前提!$B$43</f>
        <v/>
      </c>
      <c r="N16" s="21">
        <f>N12*前提!$B$43</f>
        <v/>
      </c>
      <c r="O16" s="21">
        <f>O12*前提!$B$43</f>
        <v/>
      </c>
      <c r="P16" s="21">
        <f>P12*前提!$B$43</f>
        <v/>
      </c>
      <c r="Q16" s="21">
        <f>Q12*前提!$B$43</f>
        <v/>
      </c>
      <c r="R16" s="21">
        <f>R12*前提!$B$43</f>
        <v/>
      </c>
      <c r="S16" s="21">
        <f>S12*前提!$B$43</f>
        <v/>
      </c>
    </row>
    <row r="17" ht="18" customHeight="1">
      <c r="A17" s="32" t="inlineStr">
        <is>
          <t>売上高 合計</t>
        </is>
      </c>
      <c r="B17" s="35">
        <f>B15+B16</f>
        <v/>
      </c>
      <c r="C17" s="35">
        <f>C15+C16</f>
        <v/>
      </c>
      <c r="D17" s="35">
        <f>D15+D16</f>
        <v/>
      </c>
      <c r="E17" s="35">
        <f>E15+E16</f>
        <v/>
      </c>
      <c r="F17" s="35">
        <f>F15+F16</f>
        <v/>
      </c>
      <c r="G17" s="35">
        <f>G15+G16</f>
        <v/>
      </c>
      <c r="H17" s="35">
        <f>H15+H16</f>
        <v/>
      </c>
      <c r="I17" s="35">
        <f>I15+I16</f>
        <v/>
      </c>
      <c r="J17" s="35">
        <f>J15+J16</f>
        <v/>
      </c>
      <c r="K17" s="35">
        <f>K15+K16</f>
        <v/>
      </c>
      <c r="L17" s="35">
        <f>L15+L16</f>
        <v/>
      </c>
      <c r="M17" s="36">
        <f>M15+M16</f>
        <v/>
      </c>
      <c r="N17" s="35">
        <f>N15+N16</f>
        <v/>
      </c>
      <c r="O17" s="35">
        <f>O15+O16</f>
        <v/>
      </c>
      <c r="P17" s="35">
        <f>P15+P16</f>
        <v/>
      </c>
      <c r="Q17" s="35">
        <f>Q15+Q16</f>
        <v/>
      </c>
      <c r="R17" s="35">
        <f>R15+R16</f>
        <v/>
      </c>
      <c r="S17" s="35">
        <f>S15+S16</f>
        <v/>
      </c>
    </row>
    <row r="18" ht="22" customHeight="1">
      <c r="A18" s="8" t="inlineStr">
        <is>
          <t>変動費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26" t="n"/>
      <c r="N18" s="9" t="n"/>
      <c r="O18" s="9" t="n"/>
      <c r="P18" s="9" t="n"/>
      <c r="Q18" s="9" t="n"/>
      <c r="R18" s="9" t="n"/>
      <c r="S18" s="9" t="n"/>
    </row>
    <row r="19" ht="18" customHeight="1">
      <c r="A19" s="4" t="inlineStr">
        <is>
          <t>売上原価</t>
        </is>
      </c>
      <c r="B19" s="21">
        <f>B15*前提!$B$18</f>
        <v/>
      </c>
      <c r="C19" s="21">
        <f>C15*前提!$B$18</f>
        <v/>
      </c>
      <c r="D19" s="21">
        <f>D15*前提!$B$18</f>
        <v/>
      </c>
      <c r="E19" s="21">
        <f>E15*前提!$B$18</f>
        <v/>
      </c>
      <c r="F19" s="21">
        <f>F15*前提!$B$18</f>
        <v/>
      </c>
      <c r="G19" s="21">
        <f>G15*前提!$B$18</f>
        <v/>
      </c>
      <c r="H19" s="21">
        <f>H15*前提!$B$18</f>
        <v/>
      </c>
      <c r="I19" s="21">
        <f>I15*前提!$B$18</f>
        <v/>
      </c>
      <c r="J19" s="21">
        <f>J15*前提!$B$18</f>
        <v/>
      </c>
      <c r="K19" s="21">
        <f>K15*前提!$B$18</f>
        <v/>
      </c>
      <c r="L19" s="21">
        <f>L15*前提!$B$18</f>
        <v/>
      </c>
      <c r="M19" s="27">
        <f>M15*前提!$B$18</f>
        <v/>
      </c>
      <c r="N19" s="21">
        <f>N15*前提!$B$18</f>
        <v/>
      </c>
      <c r="O19" s="21">
        <f>O15*前提!$B$18</f>
        <v/>
      </c>
      <c r="P19" s="21">
        <f>P15*前提!$B$18</f>
        <v/>
      </c>
      <c r="Q19" s="21">
        <f>Q15*前提!$B$18</f>
        <v/>
      </c>
      <c r="R19" s="21">
        <f>R15*前提!$B$18</f>
        <v/>
      </c>
      <c r="S19" s="21">
        <f>S15*前提!$B$18</f>
        <v/>
      </c>
    </row>
    <row r="20" ht="18" customHeight="1">
      <c r="A20" s="32" t="inlineStr">
        <is>
          <t>売上総利益</t>
        </is>
      </c>
      <c r="B20" s="37">
        <f>B17-B19</f>
        <v/>
      </c>
      <c r="C20" s="37">
        <f>C17-C19</f>
        <v/>
      </c>
      <c r="D20" s="37">
        <f>D17-D19</f>
        <v/>
      </c>
      <c r="E20" s="37">
        <f>E17-E19</f>
        <v/>
      </c>
      <c r="F20" s="37">
        <f>F17-F19</f>
        <v/>
      </c>
      <c r="G20" s="37">
        <f>G17-G19</f>
        <v/>
      </c>
      <c r="H20" s="37">
        <f>H17-H19</f>
        <v/>
      </c>
      <c r="I20" s="37">
        <f>I17-I19</f>
        <v/>
      </c>
      <c r="J20" s="37">
        <f>J17-J19</f>
        <v/>
      </c>
      <c r="K20" s="37">
        <f>K17-K19</f>
        <v/>
      </c>
      <c r="L20" s="37">
        <f>L17-L19</f>
        <v/>
      </c>
      <c r="M20" s="38">
        <f>M17-M19</f>
        <v/>
      </c>
      <c r="N20" s="37">
        <f>N17-N19</f>
        <v/>
      </c>
      <c r="O20" s="37">
        <f>O17-O19</f>
        <v/>
      </c>
      <c r="P20" s="37">
        <f>P17-P19</f>
        <v/>
      </c>
      <c r="Q20" s="37">
        <f>Q17-Q19</f>
        <v/>
      </c>
      <c r="R20" s="37">
        <f>R17-R19</f>
        <v/>
      </c>
      <c r="S20" s="37">
        <f>S17-S19</f>
        <v/>
      </c>
    </row>
    <row r="21" ht="18" customHeight="1">
      <c r="A21" s="4" t="inlineStr">
        <is>
          <t xml:space="preserve">  決済手数料</t>
        </is>
      </c>
      <c r="B21" s="21">
        <f>B17*前提!$B$19</f>
        <v/>
      </c>
      <c r="C21" s="21">
        <f>C17*前提!$B$19</f>
        <v/>
      </c>
      <c r="D21" s="21">
        <f>D17*前提!$B$19</f>
        <v/>
      </c>
      <c r="E21" s="21">
        <f>E17*前提!$B$19</f>
        <v/>
      </c>
      <c r="F21" s="21">
        <f>F17*前提!$B$19</f>
        <v/>
      </c>
      <c r="G21" s="21">
        <f>G17*前提!$B$19</f>
        <v/>
      </c>
      <c r="H21" s="21">
        <f>H17*前提!$B$19</f>
        <v/>
      </c>
      <c r="I21" s="21">
        <f>I17*前提!$B$19</f>
        <v/>
      </c>
      <c r="J21" s="21">
        <f>J17*前提!$B$19</f>
        <v/>
      </c>
      <c r="K21" s="21">
        <f>K17*前提!$B$19</f>
        <v/>
      </c>
      <c r="L21" s="21">
        <f>L17*前提!$B$19</f>
        <v/>
      </c>
      <c r="M21" s="27">
        <f>M17*前提!$B$19</f>
        <v/>
      </c>
      <c r="N21" s="21">
        <f>N17*前提!$B$19</f>
        <v/>
      </c>
      <c r="O21" s="21">
        <f>O17*前提!$B$19</f>
        <v/>
      </c>
      <c r="P21" s="21">
        <f>P17*前提!$B$19</f>
        <v/>
      </c>
      <c r="Q21" s="21">
        <f>Q17*前提!$B$19</f>
        <v/>
      </c>
      <c r="R21" s="21">
        <f>R17*前提!$B$19</f>
        <v/>
      </c>
      <c r="S21" s="21">
        <f>S17*前提!$B$19</f>
        <v/>
      </c>
    </row>
    <row r="22" ht="18" customHeight="1">
      <c r="A22" s="4" t="inlineStr">
        <is>
          <t xml:space="preserve">  発送送料</t>
        </is>
      </c>
      <c r="B22" s="21">
        <f>B12*前提!$B$44</f>
        <v/>
      </c>
      <c r="C22" s="21">
        <f>C12*前提!$B$44</f>
        <v/>
      </c>
      <c r="D22" s="21">
        <f>D12*前提!$B$44</f>
        <v/>
      </c>
      <c r="E22" s="21">
        <f>E12*前提!$B$44</f>
        <v/>
      </c>
      <c r="F22" s="21">
        <f>F12*前提!$B$44</f>
        <v/>
      </c>
      <c r="G22" s="21">
        <f>G12*前提!$B$44</f>
        <v/>
      </c>
      <c r="H22" s="21">
        <f>H12*前提!$B$44</f>
        <v/>
      </c>
      <c r="I22" s="21">
        <f>I12*前提!$B$44</f>
        <v/>
      </c>
      <c r="J22" s="21">
        <f>J12*前提!$B$44</f>
        <v/>
      </c>
      <c r="K22" s="21">
        <f>K12*前提!$B$44</f>
        <v/>
      </c>
      <c r="L22" s="21">
        <f>L12*前提!$B$44</f>
        <v/>
      </c>
      <c r="M22" s="27">
        <f>M12*前提!$B$44</f>
        <v/>
      </c>
      <c r="N22" s="21">
        <f>N12*前提!$B$44</f>
        <v/>
      </c>
      <c r="O22" s="21">
        <f>O12*前提!$B$44</f>
        <v/>
      </c>
      <c r="P22" s="21">
        <f>P12*前提!$B$44</f>
        <v/>
      </c>
      <c r="Q22" s="21">
        <f>Q12*前提!$B$44</f>
        <v/>
      </c>
      <c r="R22" s="21">
        <f>R12*前提!$B$44</f>
        <v/>
      </c>
      <c r="S22" s="21">
        <f>S12*前提!$B$44</f>
        <v/>
      </c>
    </row>
    <row r="23" ht="18" customHeight="1">
      <c r="A23" s="4" t="inlineStr">
        <is>
          <t xml:space="preserve">  梱包資材費</t>
        </is>
      </c>
      <c r="B23" s="21">
        <f>B12*前提!$B$45</f>
        <v/>
      </c>
      <c r="C23" s="21">
        <f>C12*前提!$B$45</f>
        <v/>
      </c>
      <c r="D23" s="21">
        <f>D12*前提!$B$45</f>
        <v/>
      </c>
      <c r="E23" s="21">
        <f>E12*前提!$B$45</f>
        <v/>
      </c>
      <c r="F23" s="21">
        <f>F12*前提!$B$45</f>
        <v/>
      </c>
      <c r="G23" s="21">
        <f>G12*前提!$B$45</f>
        <v/>
      </c>
      <c r="H23" s="21">
        <f>H12*前提!$B$45</f>
        <v/>
      </c>
      <c r="I23" s="21">
        <f>I12*前提!$B$45</f>
        <v/>
      </c>
      <c r="J23" s="21">
        <f>J12*前提!$B$45</f>
        <v/>
      </c>
      <c r="K23" s="21">
        <f>K12*前提!$B$45</f>
        <v/>
      </c>
      <c r="L23" s="21">
        <f>L12*前提!$B$45</f>
        <v/>
      </c>
      <c r="M23" s="27">
        <f>M12*前提!$B$45</f>
        <v/>
      </c>
      <c r="N23" s="21">
        <f>N12*前提!$B$45</f>
        <v/>
      </c>
      <c r="O23" s="21">
        <f>O12*前提!$B$45</f>
        <v/>
      </c>
      <c r="P23" s="21">
        <f>P12*前提!$B$45</f>
        <v/>
      </c>
      <c r="Q23" s="21">
        <f>Q12*前提!$B$45</f>
        <v/>
      </c>
      <c r="R23" s="21">
        <f>R12*前提!$B$45</f>
        <v/>
      </c>
      <c r="S23" s="21">
        <f>S12*前提!$B$45</f>
        <v/>
      </c>
    </row>
    <row r="24" ht="18" customHeight="1">
      <c r="A24" s="4" t="inlineStr">
        <is>
          <t xml:space="preserve">  破損・不良</t>
        </is>
      </c>
      <c r="B24" s="21">
        <f>B15*前提!$B$20</f>
        <v/>
      </c>
      <c r="C24" s="21">
        <f>C15*前提!$B$20</f>
        <v/>
      </c>
      <c r="D24" s="21">
        <f>D15*前提!$B$20</f>
        <v/>
      </c>
      <c r="E24" s="21">
        <f>E15*前提!$B$20</f>
        <v/>
      </c>
      <c r="F24" s="21">
        <f>F15*前提!$B$20</f>
        <v/>
      </c>
      <c r="G24" s="21">
        <f>G15*前提!$B$20</f>
        <v/>
      </c>
      <c r="H24" s="21">
        <f>H15*前提!$B$20</f>
        <v/>
      </c>
      <c r="I24" s="21">
        <f>I15*前提!$B$20</f>
        <v/>
      </c>
      <c r="J24" s="21">
        <f>J15*前提!$B$20</f>
        <v/>
      </c>
      <c r="K24" s="21">
        <f>K15*前提!$B$20</f>
        <v/>
      </c>
      <c r="L24" s="21">
        <f>L15*前提!$B$20</f>
        <v/>
      </c>
      <c r="M24" s="27">
        <f>M15*前提!$B$20</f>
        <v/>
      </c>
      <c r="N24" s="21">
        <f>N15*前提!$B$20</f>
        <v/>
      </c>
      <c r="O24" s="21">
        <f>O15*前提!$B$20</f>
        <v/>
      </c>
      <c r="P24" s="21">
        <f>P15*前提!$B$20</f>
        <v/>
      </c>
      <c r="Q24" s="21">
        <f>Q15*前提!$B$20</f>
        <v/>
      </c>
      <c r="R24" s="21">
        <f>R15*前提!$B$20</f>
        <v/>
      </c>
      <c r="S24" s="21">
        <f>S15*前提!$B$20</f>
        <v/>
      </c>
    </row>
    <row r="25" ht="18" customHeight="1">
      <c r="A25" s="4" t="inlineStr">
        <is>
          <t xml:space="preserve">  仕入送料</t>
        </is>
      </c>
      <c r="B25" s="39">
        <f>CF!C12</f>
        <v/>
      </c>
      <c r="C25" s="39">
        <f>CF!D12</f>
        <v/>
      </c>
      <c r="D25" s="39">
        <f>CF!E12</f>
        <v/>
      </c>
      <c r="E25" s="39">
        <f>CF!F12</f>
        <v/>
      </c>
      <c r="F25" s="39">
        <f>CF!G12</f>
        <v/>
      </c>
      <c r="G25" s="39">
        <f>CF!H12</f>
        <v/>
      </c>
      <c r="H25" s="39">
        <f>CF!I12</f>
        <v/>
      </c>
      <c r="I25" s="39">
        <f>CF!J12</f>
        <v/>
      </c>
      <c r="J25" s="39">
        <f>CF!K12</f>
        <v/>
      </c>
      <c r="K25" s="39">
        <f>CF!L12</f>
        <v/>
      </c>
      <c r="L25" s="39">
        <f>CF!M12</f>
        <v/>
      </c>
      <c r="M25" s="40">
        <f>CF!N12</f>
        <v/>
      </c>
      <c r="N25" s="39">
        <f>CF!O12</f>
        <v/>
      </c>
      <c r="O25" s="39">
        <f>CF!P12</f>
        <v/>
      </c>
      <c r="P25" s="39">
        <f>CF!Q12</f>
        <v/>
      </c>
      <c r="Q25" s="39">
        <f>CF!R12</f>
        <v/>
      </c>
      <c r="R25" s="39">
        <f>CF!S12</f>
        <v/>
      </c>
      <c r="S25" s="39">
        <f>CF!T12</f>
        <v/>
      </c>
    </row>
    <row r="26" ht="22" customHeight="1">
      <c r="A26" s="8" t="inlineStr">
        <is>
          <t>利益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26" t="n"/>
      <c r="N26" s="9" t="n"/>
      <c r="O26" s="9" t="n"/>
      <c r="P26" s="9" t="n"/>
      <c r="Q26" s="9" t="n"/>
      <c r="R26" s="9" t="n"/>
      <c r="S26" s="9" t="n"/>
    </row>
    <row r="27" ht="18" customHeight="1">
      <c r="A27" s="32" t="inlineStr">
        <is>
          <t>貢献利益</t>
        </is>
      </c>
      <c r="B27" s="41">
        <f>B20-B21-B22-B23-B24-B25</f>
        <v/>
      </c>
      <c r="C27" s="41">
        <f>C20-C21-C22-C23-C24-C25</f>
        <v/>
      </c>
      <c r="D27" s="41">
        <f>D20-D21-D22-D23-D24-D25</f>
        <v/>
      </c>
      <c r="E27" s="41">
        <f>E20-E21-E22-E23-E24-E25</f>
        <v/>
      </c>
      <c r="F27" s="41">
        <f>F20-F21-F22-F23-F24-F25</f>
        <v/>
      </c>
      <c r="G27" s="41">
        <f>G20-G21-G22-G23-G24-G25</f>
        <v/>
      </c>
      <c r="H27" s="41">
        <f>H20-H21-H22-H23-H24-H25</f>
        <v/>
      </c>
      <c r="I27" s="41">
        <f>I20-I21-I22-I23-I24-I25</f>
        <v/>
      </c>
      <c r="J27" s="41">
        <f>J20-J21-J22-J23-J24-J25</f>
        <v/>
      </c>
      <c r="K27" s="41">
        <f>K20-K21-K22-K23-K24-K25</f>
        <v/>
      </c>
      <c r="L27" s="41">
        <f>L20-L21-L22-L23-L24-L25</f>
        <v/>
      </c>
      <c r="M27" s="42">
        <f>M20-M21-M22-M23-M24-M25</f>
        <v/>
      </c>
      <c r="N27" s="41">
        <f>N20-N21-N22-N23-N24-N25</f>
        <v/>
      </c>
      <c r="O27" s="41">
        <f>O20-O21-O22-O23-O24-O25</f>
        <v/>
      </c>
      <c r="P27" s="41">
        <f>P20-P21-P22-P23-P24-P25</f>
        <v/>
      </c>
      <c r="Q27" s="41">
        <f>Q20-Q21-Q22-Q23-Q24-Q25</f>
        <v/>
      </c>
      <c r="R27" s="41">
        <f>R20-R21-R22-R23-R24-R25</f>
        <v/>
      </c>
      <c r="S27" s="41">
        <f>S20-S21-S22-S23-S24-S25</f>
        <v/>
      </c>
    </row>
    <row r="28" ht="18" customHeight="1">
      <c r="A28" s="4" t="inlineStr">
        <is>
          <t>貢献利益率</t>
        </is>
      </c>
      <c r="B28" s="22">
        <f>IF(B17=0,0,B27/B17)</f>
        <v/>
      </c>
      <c r="C28" s="22">
        <f>IF(C17=0,0,C27/C17)</f>
        <v/>
      </c>
      <c r="D28" s="22">
        <f>IF(D17=0,0,D27/D17)</f>
        <v/>
      </c>
      <c r="E28" s="22">
        <f>IF(E17=0,0,E27/E17)</f>
        <v/>
      </c>
      <c r="F28" s="22">
        <f>IF(F17=0,0,F27/F17)</f>
        <v/>
      </c>
      <c r="G28" s="22">
        <f>IF(G17=0,0,G27/G17)</f>
        <v/>
      </c>
      <c r="H28" s="22">
        <f>IF(H17=0,0,H27/H17)</f>
        <v/>
      </c>
      <c r="I28" s="22">
        <f>IF(I17=0,0,I27/I17)</f>
        <v/>
      </c>
      <c r="J28" s="22">
        <f>IF(J17=0,0,J27/J17)</f>
        <v/>
      </c>
      <c r="K28" s="22">
        <f>IF(K17=0,0,K27/K17)</f>
        <v/>
      </c>
      <c r="L28" s="22">
        <f>IF(L17=0,0,L27/L17)</f>
        <v/>
      </c>
      <c r="M28" s="43">
        <f>IF(M17=0,0,M27/M17)</f>
        <v/>
      </c>
      <c r="N28" s="22">
        <f>IF(N17=0,0,N27/N17)</f>
        <v/>
      </c>
      <c r="O28" s="22">
        <f>IF(O17=0,0,O27/O17)</f>
        <v/>
      </c>
      <c r="P28" s="22">
        <f>IF(P17=0,0,P27/P17)</f>
        <v/>
      </c>
      <c r="Q28" s="22">
        <f>IF(Q17=0,0,Q27/Q17)</f>
        <v/>
      </c>
      <c r="R28" s="22">
        <f>IF(R17=0,0,R27/R17)</f>
        <v/>
      </c>
      <c r="S28" s="22">
        <f>IF(S17=0,0,S27/S17)</f>
        <v/>
      </c>
    </row>
    <row r="29" ht="18" customHeight="1">
      <c r="A29" s="4" t="inlineStr">
        <is>
          <t>広告費</t>
        </is>
      </c>
      <c r="B29" s="21">
        <f>IF(1&gt;=前提!$B$13,前提!$B$14,0)</f>
        <v/>
      </c>
      <c r="C29" s="21">
        <f>IF(2&gt;=前提!$B$13,前提!$B$14,0)</f>
        <v/>
      </c>
      <c r="D29" s="21">
        <f>IF(3&gt;=前提!$B$13,前提!$B$14,0)</f>
        <v/>
      </c>
      <c r="E29" s="21">
        <f>IF(4&gt;=前提!$B$13,前提!$B$14,0)</f>
        <v/>
      </c>
      <c r="F29" s="21">
        <f>IF(5&gt;=前提!$B$13,前提!$B$14,0)</f>
        <v/>
      </c>
      <c r="G29" s="21">
        <f>IF(6&gt;=前提!$B$13,前提!$B$14,0)</f>
        <v/>
      </c>
      <c r="H29" s="21">
        <f>IF(7&gt;=前提!$B$13,前提!$B$14,0)</f>
        <v/>
      </c>
      <c r="I29" s="21">
        <f>IF(8&gt;=前提!$B$13,前提!$B$14,0)</f>
        <v/>
      </c>
      <c r="J29" s="21">
        <f>IF(9&gt;=前提!$B$13,前提!$B$14,0)</f>
        <v/>
      </c>
      <c r="K29" s="21">
        <f>IF(10&gt;=前提!$B$13,前提!$B$14,0)</f>
        <v/>
      </c>
      <c r="L29" s="21">
        <f>IF(11&gt;=前提!$B$13,前提!$B$14,0)</f>
        <v/>
      </c>
      <c r="M29" s="27">
        <f>IF(12&gt;=前提!$B$13,前提!$B$14,0)</f>
        <v/>
      </c>
      <c r="N29" s="21">
        <f>IF(13&gt;=前提!$B$13,前提!$B$14,0)</f>
        <v/>
      </c>
      <c r="O29" s="21">
        <f>IF(14&gt;=前提!$B$13,前提!$B$14,0)</f>
        <v/>
      </c>
      <c r="P29" s="21">
        <f>IF(15&gt;=前提!$B$13,前提!$B$14,0)</f>
        <v/>
      </c>
      <c r="Q29" s="21">
        <f>IF(16&gt;=前提!$B$13,前提!$B$14,0)</f>
        <v/>
      </c>
      <c r="R29" s="21">
        <f>IF(17&gt;=前提!$B$13,前提!$B$14,0)</f>
        <v/>
      </c>
      <c r="S29" s="21">
        <f>IF(18&gt;=前提!$B$13,前提!$B$14,0)</f>
        <v/>
      </c>
    </row>
    <row r="30" ht="18" customHeight="1">
      <c r="A30" s="4" t="inlineStr">
        <is>
          <t>固定費</t>
        </is>
      </c>
      <c r="B30" s="21">
        <f>前提!$B$48</f>
        <v/>
      </c>
      <c r="C30" s="21">
        <f>前提!$B$48</f>
        <v/>
      </c>
      <c r="D30" s="21">
        <f>前提!$B$48</f>
        <v/>
      </c>
      <c r="E30" s="21">
        <f>前提!$B$48</f>
        <v/>
      </c>
      <c r="F30" s="21">
        <f>前提!$B$48</f>
        <v/>
      </c>
      <c r="G30" s="21">
        <f>前提!$B$48</f>
        <v/>
      </c>
      <c r="H30" s="21">
        <f>前提!$B$48</f>
        <v/>
      </c>
      <c r="I30" s="21">
        <f>前提!$B$48</f>
        <v/>
      </c>
      <c r="J30" s="21">
        <f>前提!$B$48</f>
        <v/>
      </c>
      <c r="K30" s="21">
        <f>前提!$B$48</f>
        <v/>
      </c>
      <c r="L30" s="21">
        <f>前提!$B$48</f>
        <v/>
      </c>
      <c r="M30" s="27">
        <f>前提!$B$48</f>
        <v/>
      </c>
      <c r="N30" s="21">
        <f>前提!$B$48</f>
        <v/>
      </c>
      <c r="O30" s="21">
        <f>前提!$B$48</f>
        <v/>
      </c>
      <c r="P30" s="21">
        <f>前提!$B$48</f>
        <v/>
      </c>
      <c r="Q30" s="21">
        <f>前提!$B$48</f>
        <v/>
      </c>
      <c r="R30" s="21">
        <f>前提!$B$48</f>
        <v/>
      </c>
      <c r="S30" s="21">
        <f>前提!$B$48</f>
        <v/>
      </c>
    </row>
    <row r="31" ht="18" customHeight="1">
      <c r="A31" s="32" t="inlineStr">
        <is>
          <t>営業利益</t>
        </is>
      </c>
      <c r="B31" s="23">
        <f>B27-B29-B30</f>
        <v/>
      </c>
      <c r="C31" s="23">
        <f>C27-C29-C30</f>
        <v/>
      </c>
      <c r="D31" s="23">
        <f>D27-D29-D30</f>
        <v/>
      </c>
      <c r="E31" s="23">
        <f>E27-E29-E30</f>
        <v/>
      </c>
      <c r="F31" s="23">
        <f>F27-F29-F30</f>
        <v/>
      </c>
      <c r="G31" s="23">
        <f>G27-G29-G30</f>
        <v/>
      </c>
      <c r="H31" s="23">
        <f>H27-H29-H30</f>
        <v/>
      </c>
      <c r="I31" s="23">
        <f>I27-I29-I30</f>
        <v/>
      </c>
      <c r="J31" s="23">
        <f>J27-J29-J30</f>
        <v/>
      </c>
      <c r="K31" s="23">
        <f>K27-K29-K30</f>
        <v/>
      </c>
      <c r="L31" s="23">
        <f>L27-L29-L30</f>
        <v/>
      </c>
      <c r="M31" s="44">
        <f>M27-M29-M30</f>
        <v/>
      </c>
      <c r="N31" s="23">
        <f>N27-N29-N30</f>
        <v/>
      </c>
      <c r="O31" s="23">
        <f>O27-O29-O30</f>
        <v/>
      </c>
      <c r="P31" s="23">
        <f>P27-P29-P30</f>
        <v/>
      </c>
      <c r="Q31" s="23">
        <f>Q27-Q29-Q30</f>
        <v/>
      </c>
      <c r="R31" s="23">
        <f>R27-R29-R30</f>
        <v/>
      </c>
      <c r="S31" s="23">
        <f>S27-S29-S30</f>
        <v/>
      </c>
    </row>
    <row r="32" ht="18" customHeight="1">
      <c r="A32" s="32" t="inlineStr">
        <is>
          <t>累計営業利益</t>
        </is>
      </c>
      <c r="B32" s="37">
        <f>B31</f>
        <v/>
      </c>
      <c r="C32" s="37">
        <f>B32+C31</f>
        <v/>
      </c>
      <c r="D32" s="37">
        <f>C32+D31</f>
        <v/>
      </c>
      <c r="E32" s="37">
        <f>D32+E31</f>
        <v/>
      </c>
      <c r="F32" s="37">
        <f>E32+F31</f>
        <v/>
      </c>
      <c r="G32" s="37">
        <f>F32+G31</f>
        <v/>
      </c>
      <c r="H32" s="37">
        <f>G32+H31</f>
        <v/>
      </c>
      <c r="I32" s="37">
        <f>H32+I31</f>
        <v/>
      </c>
      <c r="J32" s="37">
        <f>I32+J31</f>
        <v/>
      </c>
      <c r="K32" s="37">
        <f>J32+K31</f>
        <v/>
      </c>
      <c r="L32" s="37">
        <f>K32+L31</f>
        <v/>
      </c>
      <c r="M32" s="38">
        <f>L32+M31</f>
        <v/>
      </c>
      <c r="N32" s="37">
        <f>M32+N31</f>
        <v/>
      </c>
      <c r="O32" s="37">
        <f>N32+O31</f>
        <v/>
      </c>
      <c r="P32" s="37">
        <f>O32+P31</f>
        <v/>
      </c>
      <c r="Q32" s="37">
        <f>P32+Q31</f>
        <v/>
      </c>
      <c r="R32" s="37">
        <f>Q32+R31</f>
        <v/>
      </c>
      <c r="S32" s="37">
        <f>R32+S31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7791F"/>
    <outlinePr summaryBelow="1" summaryRight="1"/>
    <pageSetUpPr/>
  </sheetPr>
  <dimension ref="A1:T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28" customHeight="1">
      <c r="A1" s="1" t="inlineStr">
        <is>
          <t>月次キャッシュフロー（M0=開業準備月〜M18）</t>
        </is>
      </c>
    </row>
    <row r="2" ht="18" customHeight="1">
      <c r="A2" s="24" t="inlineStr"/>
      <c r="B2" s="3" t="inlineStr">
        <is>
          <t>M0</t>
        </is>
      </c>
      <c r="C2" s="3" t="inlineStr">
        <is>
          <t>M1</t>
        </is>
      </c>
      <c r="D2" s="3" t="inlineStr">
        <is>
          <t>M2</t>
        </is>
      </c>
      <c r="E2" s="3" t="inlineStr">
        <is>
          <t>M3</t>
        </is>
      </c>
      <c r="F2" s="3" t="inlineStr">
        <is>
          <t>M4</t>
        </is>
      </c>
      <c r="G2" s="3" t="inlineStr">
        <is>
          <t>M5</t>
        </is>
      </c>
      <c r="H2" s="3" t="inlineStr">
        <is>
          <t>M6</t>
        </is>
      </c>
      <c r="I2" s="3" t="inlineStr">
        <is>
          <t>M7</t>
        </is>
      </c>
      <c r="J2" s="3" t="inlineStr">
        <is>
          <t>M8</t>
        </is>
      </c>
      <c r="K2" s="3" t="inlineStr">
        <is>
          <t>M9</t>
        </is>
      </c>
      <c r="L2" s="3" t="inlineStr">
        <is>
          <t>M10</t>
        </is>
      </c>
      <c r="M2" s="3" t="inlineStr">
        <is>
          <t>M11</t>
        </is>
      </c>
      <c r="N2" s="25" t="inlineStr">
        <is>
          <t>M12</t>
        </is>
      </c>
      <c r="O2" s="3" t="inlineStr">
        <is>
          <t>M13</t>
        </is>
      </c>
      <c r="P2" s="3" t="inlineStr">
        <is>
          <t>M14</t>
        </is>
      </c>
      <c r="Q2" s="3" t="inlineStr">
        <is>
          <t>M15</t>
        </is>
      </c>
      <c r="R2" s="3" t="inlineStr">
        <is>
          <t>M16</t>
        </is>
      </c>
      <c r="S2" s="3" t="inlineStr">
        <is>
          <t>M17</t>
        </is>
      </c>
      <c r="T2" s="3" t="inlineStr">
        <is>
          <t>M18</t>
        </is>
      </c>
    </row>
    <row r="3" ht="22" customHeight="1">
      <c r="A3" s="8" t="inlineStr">
        <is>
          <t>現金収入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26" t="n"/>
      <c r="O3" s="9" t="n"/>
      <c r="P3" s="9" t="n"/>
      <c r="Q3" s="9" t="n"/>
      <c r="R3" s="9" t="n"/>
      <c r="S3" s="9" t="n"/>
      <c r="T3" s="9" t="n"/>
    </row>
    <row r="4" ht="18" customHeight="1">
      <c r="A4" s="32" t="inlineStr">
        <is>
          <t>現金収入（売上−決済手数料）</t>
        </is>
      </c>
      <c r="B4" s="39" t="n">
        <v>0</v>
      </c>
      <c r="C4" s="39">
        <f>PL!B17-PL!B21</f>
        <v/>
      </c>
      <c r="D4" s="39">
        <f>PL!C17-PL!C21</f>
        <v/>
      </c>
      <c r="E4" s="39">
        <f>PL!D17-PL!D21</f>
        <v/>
      </c>
      <c r="F4" s="39">
        <f>PL!E17-PL!E21</f>
        <v/>
      </c>
      <c r="G4" s="39">
        <f>PL!F17-PL!F21</f>
        <v/>
      </c>
      <c r="H4" s="39">
        <f>PL!G17-PL!G21</f>
        <v/>
      </c>
      <c r="I4" s="39">
        <f>PL!H17-PL!H21</f>
        <v/>
      </c>
      <c r="J4" s="39">
        <f>PL!I17-PL!I21</f>
        <v/>
      </c>
      <c r="K4" s="39">
        <f>PL!J17-PL!J21</f>
        <v/>
      </c>
      <c r="L4" s="39">
        <f>PL!K17-PL!K21</f>
        <v/>
      </c>
      <c r="M4" s="39">
        <f>PL!L17-PL!L21</f>
        <v/>
      </c>
      <c r="N4" s="40">
        <f>PL!M17-PL!M21</f>
        <v/>
      </c>
      <c r="O4" s="39">
        <f>PL!N17-PL!N21</f>
        <v/>
      </c>
      <c r="P4" s="39">
        <f>PL!O17-PL!O21</f>
        <v/>
      </c>
      <c r="Q4" s="39">
        <f>PL!P17-PL!P21</f>
        <v/>
      </c>
      <c r="R4" s="39">
        <f>PL!Q17-PL!Q21</f>
        <v/>
      </c>
      <c r="S4" s="39">
        <f>PL!R17-PL!R21</f>
        <v/>
      </c>
      <c r="T4" s="39">
        <f>PL!S17-PL!S21</f>
        <v/>
      </c>
    </row>
    <row r="5" ht="22" customHeight="1">
      <c r="A5" s="8" t="inlineStr">
        <is>
          <t>在庫（原価ベース）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26" t="n"/>
      <c r="O5" s="9" t="n"/>
      <c r="P5" s="9" t="n"/>
      <c r="Q5" s="9" t="n"/>
      <c r="R5" s="9" t="n"/>
      <c r="S5" s="9" t="n"/>
      <c r="T5" s="9" t="n"/>
    </row>
    <row r="6" ht="18" customHeight="1">
      <c r="A6" s="4" t="inlineStr">
        <is>
          <t>期首在庫</t>
        </is>
      </c>
      <c r="B6" s="21" t="n">
        <v>0</v>
      </c>
      <c r="C6" s="21">
        <f>B9</f>
        <v/>
      </c>
      <c r="D6" s="21">
        <f>C9</f>
        <v/>
      </c>
      <c r="E6" s="21">
        <f>D9</f>
        <v/>
      </c>
      <c r="F6" s="21">
        <f>E9</f>
        <v/>
      </c>
      <c r="G6" s="21">
        <f>F9</f>
        <v/>
      </c>
      <c r="H6" s="21">
        <f>G9</f>
        <v/>
      </c>
      <c r="I6" s="21">
        <f>H9</f>
        <v/>
      </c>
      <c r="J6" s="21">
        <f>I9</f>
        <v/>
      </c>
      <c r="K6" s="21">
        <f>J9</f>
        <v/>
      </c>
      <c r="L6" s="21">
        <f>K9</f>
        <v/>
      </c>
      <c r="M6" s="21">
        <f>L9</f>
        <v/>
      </c>
      <c r="N6" s="27">
        <f>M9</f>
        <v/>
      </c>
      <c r="O6" s="21">
        <f>N9</f>
        <v/>
      </c>
      <c r="P6" s="21">
        <f>O9</f>
        <v/>
      </c>
      <c r="Q6" s="21">
        <f>P9</f>
        <v/>
      </c>
      <c r="R6" s="21">
        <f>Q9</f>
        <v/>
      </c>
      <c r="S6" s="21">
        <f>R9</f>
        <v/>
      </c>
      <c r="T6" s="21">
        <f>S9</f>
        <v/>
      </c>
    </row>
    <row r="7" ht="18" customHeight="1">
      <c r="A7" s="4" t="inlineStr">
        <is>
          <t>仕入（発注＝同月前払い）</t>
        </is>
      </c>
      <c r="B7" s="21">
        <f>前提!$B$29</f>
        <v/>
      </c>
      <c r="C7" s="21">
        <f>MAX(0,PL!C19*前提!$B$35-(C6-PL!B19))</f>
        <v/>
      </c>
      <c r="D7" s="21">
        <f>MAX(0,PL!D19*前提!$B$35-(D6-PL!C19))</f>
        <v/>
      </c>
      <c r="E7" s="21">
        <f>MAX(0,PL!E19*前提!$B$35-(E6-PL!D19))</f>
        <v/>
      </c>
      <c r="F7" s="21">
        <f>MAX(0,PL!F19*前提!$B$35-(F6-PL!E19))</f>
        <v/>
      </c>
      <c r="G7" s="21">
        <f>MAX(0,PL!G19*前提!$B$35-(G6-PL!F19))</f>
        <v/>
      </c>
      <c r="H7" s="21">
        <f>MAX(0,PL!H19*前提!$B$35-(H6-PL!G19))</f>
        <v/>
      </c>
      <c r="I7" s="21">
        <f>MAX(0,PL!I19*前提!$B$35-(I6-PL!H19))</f>
        <v/>
      </c>
      <c r="J7" s="21">
        <f>MAX(0,PL!J19*前提!$B$35-(J6-PL!I19))</f>
        <v/>
      </c>
      <c r="K7" s="21">
        <f>MAX(0,PL!K19*前提!$B$35-(K6-PL!J19))</f>
        <v/>
      </c>
      <c r="L7" s="21">
        <f>MAX(0,PL!L19*前提!$B$35-(L6-PL!K19))</f>
        <v/>
      </c>
      <c r="M7" s="21">
        <f>MAX(0,PL!M19*前提!$B$35-(M6-PL!L19))</f>
        <v/>
      </c>
      <c r="N7" s="27">
        <f>MAX(0,PL!N19*前提!$B$35-(N6-PL!M19))</f>
        <v/>
      </c>
      <c r="O7" s="21">
        <f>MAX(0,PL!O19*前提!$B$35-(O6-PL!N19))</f>
        <v/>
      </c>
      <c r="P7" s="21">
        <f>MAX(0,PL!P19*前提!$B$35-(P6-PL!O19))</f>
        <v/>
      </c>
      <c r="Q7" s="21">
        <f>MAX(0,PL!Q19*前提!$B$35-(Q6-PL!P19))</f>
        <v/>
      </c>
      <c r="R7" s="21">
        <f>MAX(0,PL!R19*前提!$B$35-(R6-PL!Q19))</f>
        <v/>
      </c>
      <c r="S7" s="21">
        <f>MAX(0,PL!S19*前提!$B$35-(S6-PL!R19))</f>
        <v/>
      </c>
      <c r="T7" s="21">
        <f>MAX(0,PL!S19*1.05*前提!$B$35-(T6-PL!S19))</f>
        <v/>
      </c>
    </row>
    <row r="8" ht="18" customHeight="1">
      <c r="A8" s="4" t="inlineStr">
        <is>
          <t>原価消費</t>
        </is>
      </c>
      <c r="B8" s="39" t="n">
        <v>0</v>
      </c>
      <c r="C8" s="39">
        <f>PL!B19</f>
        <v/>
      </c>
      <c r="D8" s="39">
        <f>PL!C19</f>
        <v/>
      </c>
      <c r="E8" s="39">
        <f>PL!D19</f>
        <v/>
      </c>
      <c r="F8" s="39">
        <f>PL!E19</f>
        <v/>
      </c>
      <c r="G8" s="39">
        <f>PL!F19</f>
        <v/>
      </c>
      <c r="H8" s="39">
        <f>PL!G19</f>
        <v/>
      </c>
      <c r="I8" s="39">
        <f>PL!H19</f>
        <v/>
      </c>
      <c r="J8" s="39">
        <f>PL!I19</f>
        <v/>
      </c>
      <c r="K8" s="39">
        <f>PL!J19</f>
        <v/>
      </c>
      <c r="L8" s="39">
        <f>PL!K19</f>
        <v/>
      </c>
      <c r="M8" s="39">
        <f>PL!L19</f>
        <v/>
      </c>
      <c r="N8" s="40">
        <f>PL!M19</f>
        <v/>
      </c>
      <c r="O8" s="39">
        <f>PL!N19</f>
        <v/>
      </c>
      <c r="P8" s="39">
        <f>PL!O19</f>
        <v/>
      </c>
      <c r="Q8" s="39">
        <f>PL!P19</f>
        <v/>
      </c>
      <c r="R8" s="39">
        <f>PL!Q19</f>
        <v/>
      </c>
      <c r="S8" s="39">
        <f>PL!R19</f>
        <v/>
      </c>
      <c r="T8" s="39">
        <f>PL!S19</f>
        <v/>
      </c>
    </row>
    <row r="9" ht="18" customHeight="1">
      <c r="A9" s="32" t="inlineStr">
        <is>
          <t>期末在庫</t>
        </is>
      </c>
      <c r="B9" s="35">
        <f>B6+B7-B8</f>
        <v/>
      </c>
      <c r="C9" s="35">
        <f>C6+C7-C8</f>
        <v/>
      </c>
      <c r="D9" s="35">
        <f>D6+D7-D8</f>
        <v/>
      </c>
      <c r="E9" s="35">
        <f>E6+E7-E8</f>
        <v/>
      </c>
      <c r="F9" s="35">
        <f>F6+F7-F8</f>
        <v/>
      </c>
      <c r="G9" s="35">
        <f>G6+G7-G8</f>
        <v/>
      </c>
      <c r="H9" s="35">
        <f>H6+H7-H8</f>
        <v/>
      </c>
      <c r="I9" s="35">
        <f>I6+I7-I8</f>
        <v/>
      </c>
      <c r="J9" s="35">
        <f>J6+J7-J8</f>
        <v/>
      </c>
      <c r="K9" s="35">
        <f>K6+K7-K8</f>
        <v/>
      </c>
      <c r="L9" s="35">
        <f>L6+L7-L8</f>
        <v/>
      </c>
      <c r="M9" s="35">
        <f>M6+M7-M8</f>
        <v/>
      </c>
      <c r="N9" s="36">
        <f>N6+N7-N8</f>
        <v/>
      </c>
      <c r="O9" s="35">
        <f>O6+O7-O8</f>
        <v/>
      </c>
      <c r="P9" s="35">
        <f>P6+P7-P8</f>
        <v/>
      </c>
      <c r="Q9" s="35">
        <f>Q6+Q7-Q8</f>
        <v/>
      </c>
      <c r="R9" s="35">
        <f>R6+R7-R8</f>
        <v/>
      </c>
      <c r="S9" s="35">
        <f>S6+S7-S8</f>
        <v/>
      </c>
      <c r="T9" s="35">
        <f>T6+T7-T8</f>
        <v/>
      </c>
    </row>
    <row r="10" ht="22" customHeight="1">
      <c r="A10" s="8" t="inlineStr">
        <is>
          <t>現金支出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26" t="n"/>
      <c r="O10" s="9" t="n"/>
      <c r="P10" s="9" t="n"/>
      <c r="Q10" s="9" t="n"/>
      <c r="R10" s="9" t="n"/>
      <c r="S10" s="9" t="n"/>
      <c r="T10" s="9" t="n"/>
    </row>
    <row r="11" ht="18" customHeight="1">
      <c r="A11" s="4" t="inlineStr">
        <is>
          <t xml:space="preserve">  仕入支払</t>
        </is>
      </c>
      <c r="B11" s="21">
        <f>B7</f>
        <v/>
      </c>
      <c r="C11" s="21">
        <f>C7</f>
        <v/>
      </c>
      <c r="D11" s="21">
        <f>D7</f>
        <v/>
      </c>
      <c r="E11" s="21">
        <f>E7</f>
        <v/>
      </c>
      <c r="F11" s="21">
        <f>F7</f>
        <v/>
      </c>
      <c r="G11" s="21">
        <f>G7</f>
        <v/>
      </c>
      <c r="H11" s="21">
        <f>H7</f>
        <v/>
      </c>
      <c r="I11" s="21">
        <f>I7</f>
        <v/>
      </c>
      <c r="J11" s="21">
        <f>J7</f>
        <v/>
      </c>
      <c r="K11" s="21">
        <f>K7</f>
        <v/>
      </c>
      <c r="L11" s="21">
        <f>L7</f>
        <v/>
      </c>
      <c r="M11" s="21">
        <f>M7</f>
        <v/>
      </c>
      <c r="N11" s="27">
        <f>N7</f>
        <v/>
      </c>
      <c r="O11" s="21">
        <f>O7</f>
        <v/>
      </c>
      <c r="P11" s="21">
        <f>P7</f>
        <v/>
      </c>
      <c r="Q11" s="21">
        <f>Q7</f>
        <v/>
      </c>
      <c r="R11" s="21">
        <f>R7</f>
        <v/>
      </c>
      <c r="S11" s="21">
        <f>S7</f>
        <v/>
      </c>
      <c r="T11" s="21">
        <f>T7</f>
        <v/>
      </c>
    </row>
    <row r="12" ht="18" customHeight="1">
      <c r="A12" s="4" t="inlineStr">
        <is>
          <t xml:space="preserve">  仕入送料</t>
        </is>
      </c>
      <c r="B12" s="21">
        <f>IF(B7&gt;0,前提!$B$23,0)</f>
        <v/>
      </c>
      <c r="C12" s="21">
        <f>IF(C7&gt;0,前提!$B$23,0)</f>
        <v/>
      </c>
      <c r="D12" s="21">
        <f>IF(D7&gt;0,前提!$B$23,0)</f>
        <v/>
      </c>
      <c r="E12" s="21">
        <f>IF(E7&gt;0,前提!$B$23,0)</f>
        <v/>
      </c>
      <c r="F12" s="21">
        <f>IF(F7&gt;0,前提!$B$23,0)</f>
        <v/>
      </c>
      <c r="G12" s="21">
        <f>IF(G7&gt;0,前提!$B$23,0)</f>
        <v/>
      </c>
      <c r="H12" s="21">
        <f>IF(H7&gt;0,前提!$B$23,0)</f>
        <v/>
      </c>
      <c r="I12" s="21">
        <f>IF(I7&gt;0,前提!$B$23,0)</f>
        <v/>
      </c>
      <c r="J12" s="21">
        <f>IF(J7&gt;0,前提!$B$23,0)</f>
        <v/>
      </c>
      <c r="K12" s="21">
        <f>IF(K7&gt;0,前提!$B$23,0)</f>
        <v/>
      </c>
      <c r="L12" s="21">
        <f>IF(L7&gt;0,前提!$B$23,0)</f>
        <v/>
      </c>
      <c r="M12" s="21">
        <f>IF(M7&gt;0,前提!$B$23,0)</f>
        <v/>
      </c>
      <c r="N12" s="27">
        <f>IF(N7&gt;0,前提!$B$23,0)</f>
        <v/>
      </c>
      <c r="O12" s="21">
        <f>IF(O7&gt;0,前提!$B$23,0)</f>
        <v/>
      </c>
      <c r="P12" s="21">
        <f>IF(P7&gt;0,前提!$B$23,0)</f>
        <v/>
      </c>
      <c r="Q12" s="21">
        <f>IF(Q7&gt;0,前提!$B$23,0)</f>
        <v/>
      </c>
      <c r="R12" s="21">
        <f>IF(R7&gt;0,前提!$B$23,0)</f>
        <v/>
      </c>
      <c r="S12" s="21">
        <f>IF(S7&gt;0,前提!$B$23,0)</f>
        <v/>
      </c>
      <c r="T12" s="21">
        <f>IF(T7&gt;0,前提!$B$23,0)</f>
        <v/>
      </c>
    </row>
    <row r="13" ht="18" customHeight="1">
      <c r="A13" s="4" t="inlineStr">
        <is>
          <t xml:space="preserve">  発送送料+破損（現金）</t>
        </is>
      </c>
      <c r="B13" s="39" t="n">
        <v>0</v>
      </c>
      <c r="C13" s="39">
        <f>PL!B22+PL!B24</f>
        <v/>
      </c>
      <c r="D13" s="39">
        <f>PL!C22+PL!C24</f>
        <v/>
      </c>
      <c r="E13" s="39">
        <f>PL!D22+PL!D24</f>
        <v/>
      </c>
      <c r="F13" s="39">
        <f>PL!E22+PL!E24</f>
        <v/>
      </c>
      <c r="G13" s="39">
        <f>PL!F22+PL!F24</f>
        <v/>
      </c>
      <c r="H13" s="39">
        <f>PL!G22+PL!G24</f>
        <v/>
      </c>
      <c r="I13" s="39">
        <f>PL!H22+PL!H24</f>
        <v/>
      </c>
      <c r="J13" s="39">
        <f>PL!I22+PL!I24</f>
        <v/>
      </c>
      <c r="K13" s="39">
        <f>PL!J22+PL!J24</f>
        <v/>
      </c>
      <c r="L13" s="39">
        <f>PL!K22+PL!K24</f>
        <v/>
      </c>
      <c r="M13" s="39">
        <f>PL!L22+PL!L24</f>
        <v/>
      </c>
      <c r="N13" s="40">
        <f>PL!M22+PL!M24</f>
        <v/>
      </c>
      <c r="O13" s="39">
        <f>PL!N22+PL!N24</f>
        <v/>
      </c>
      <c r="P13" s="39">
        <f>PL!O22+PL!O24</f>
        <v/>
      </c>
      <c r="Q13" s="39">
        <f>PL!P22+PL!P24</f>
        <v/>
      </c>
      <c r="R13" s="39">
        <f>PL!Q22+PL!Q24</f>
        <v/>
      </c>
      <c r="S13" s="39">
        <f>PL!R22+PL!R24</f>
        <v/>
      </c>
      <c r="T13" s="39">
        <f>PL!S22+PL!S24</f>
        <v/>
      </c>
    </row>
    <row r="14" ht="18" customHeight="1">
      <c r="A14" s="4" t="inlineStr">
        <is>
          <t xml:space="preserve">  資材消費 累計（参考）</t>
        </is>
      </c>
      <c r="B14" s="21" t="n">
        <v>0</v>
      </c>
      <c r="C14" s="21">
        <f>B14+PL!B23</f>
        <v/>
      </c>
      <c r="D14" s="21">
        <f>C14+PL!C23</f>
        <v/>
      </c>
      <c r="E14" s="21">
        <f>D14+PL!D23</f>
        <v/>
      </c>
      <c r="F14" s="21">
        <f>E14+PL!E23</f>
        <v/>
      </c>
      <c r="G14" s="21">
        <f>F14+PL!F23</f>
        <v/>
      </c>
      <c r="H14" s="21">
        <f>G14+PL!G23</f>
        <v/>
      </c>
      <c r="I14" s="21">
        <f>H14+PL!H23</f>
        <v/>
      </c>
      <c r="J14" s="21">
        <f>I14+PL!I23</f>
        <v/>
      </c>
      <c r="K14" s="21">
        <f>J14+PL!J23</f>
        <v/>
      </c>
      <c r="L14" s="21">
        <f>K14+PL!K23</f>
        <v/>
      </c>
      <c r="M14" s="21">
        <f>L14+PL!L23</f>
        <v/>
      </c>
      <c r="N14" s="27">
        <f>M14+PL!M23</f>
        <v/>
      </c>
      <c r="O14" s="21">
        <f>N14+PL!N23</f>
        <v/>
      </c>
      <c r="P14" s="21">
        <f>O14+PL!O23</f>
        <v/>
      </c>
      <c r="Q14" s="21">
        <f>P14+PL!P23</f>
        <v/>
      </c>
      <c r="R14" s="21">
        <f>Q14+PL!Q23</f>
        <v/>
      </c>
      <c r="S14" s="21">
        <f>R14+PL!R23</f>
        <v/>
      </c>
      <c r="T14" s="21">
        <f>S14+PL!S23</f>
        <v/>
      </c>
    </row>
    <row r="15" ht="18" customHeight="1">
      <c r="A15" s="4" t="inlineStr">
        <is>
          <t xml:space="preserve">  資材購入（初期ロット消化後）</t>
        </is>
      </c>
      <c r="B15" s="21" t="n">
        <v>0</v>
      </c>
      <c r="C15" s="21">
        <f>MAX(0,C14-MAX(前提!$B$31,B14))</f>
        <v/>
      </c>
      <c r="D15" s="21">
        <f>MAX(0,D14-MAX(前提!$B$31,C14))</f>
        <v/>
      </c>
      <c r="E15" s="21">
        <f>MAX(0,E14-MAX(前提!$B$31,D14))</f>
        <v/>
      </c>
      <c r="F15" s="21">
        <f>MAX(0,F14-MAX(前提!$B$31,E14))</f>
        <v/>
      </c>
      <c r="G15" s="21">
        <f>MAX(0,G14-MAX(前提!$B$31,F14))</f>
        <v/>
      </c>
      <c r="H15" s="21">
        <f>MAX(0,H14-MAX(前提!$B$31,G14))</f>
        <v/>
      </c>
      <c r="I15" s="21">
        <f>MAX(0,I14-MAX(前提!$B$31,H14))</f>
        <v/>
      </c>
      <c r="J15" s="21">
        <f>MAX(0,J14-MAX(前提!$B$31,I14))</f>
        <v/>
      </c>
      <c r="K15" s="21">
        <f>MAX(0,K14-MAX(前提!$B$31,J14))</f>
        <v/>
      </c>
      <c r="L15" s="21">
        <f>MAX(0,L14-MAX(前提!$B$31,K14))</f>
        <v/>
      </c>
      <c r="M15" s="21">
        <f>MAX(0,M14-MAX(前提!$B$31,L14))</f>
        <v/>
      </c>
      <c r="N15" s="27">
        <f>MAX(0,N14-MAX(前提!$B$31,M14))</f>
        <v/>
      </c>
      <c r="O15" s="21">
        <f>MAX(0,O14-MAX(前提!$B$31,N14))</f>
        <v/>
      </c>
      <c r="P15" s="21">
        <f>MAX(0,P14-MAX(前提!$B$31,O14))</f>
        <v/>
      </c>
      <c r="Q15" s="21">
        <f>MAX(0,Q14-MAX(前提!$B$31,P14))</f>
        <v/>
      </c>
      <c r="R15" s="21">
        <f>MAX(0,R14-MAX(前提!$B$31,Q14))</f>
        <v/>
      </c>
      <c r="S15" s="21">
        <f>MAX(0,S14-MAX(前提!$B$31,R14))</f>
        <v/>
      </c>
      <c r="T15" s="21">
        <f>MAX(0,T14-MAX(前提!$B$31,S14))</f>
        <v/>
      </c>
    </row>
    <row r="16" ht="18" customHeight="1">
      <c r="A16" s="4" t="inlineStr">
        <is>
          <t xml:space="preserve">  広告費</t>
        </is>
      </c>
      <c r="B16" s="39" t="n">
        <v>0</v>
      </c>
      <c r="C16" s="39">
        <f>PL!B29</f>
        <v/>
      </c>
      <c r="D16" s="39">
        <f>PL!C29</f>
        <v/>
      </c>
      <c r="E16" s="39">
        <f>PL!D29</f>
        <v/>
      </c>
      <c r="F16" s="39">
        <f>PL!E29</f>
        <v/>
      </c>
      <c r="G16" s="39">
        <f>PL!F29</f>
        <v/>
      </c>
      <c r="H16" s="39">
        <f>PL!G29</f>
        <v/>
      </c>
      <c r="I16" s="39">
        <f>PL!H29</f>
        <v/>
      </c>
      <c r="J16" s="39">
        <f>PL!I29</f>
        <v/>
      </c>
      <c r="K16" s="39">
        <f>PL!J29</f>
        <v/>
      </c>
      <c r="L16" s="39">
        <f>PL!K29</f>
        <v/>
      </c>
      <c r="M16" s="39">
        <f>PL!L29</f>
        <v/>
      </c>
      <c r="N16" s="40">
        <f>PL!M29</f>
        <v/>
      </c>
      <c r="O16" s="39">
        <f>PL!N29</f>
        <v/>
      </c>
      <c r="P16" s="39">
        <f>PL!O29</f>
        <v/>
      </c>
      <c r="Q16" s="39">
        <f>PL!P29</f>
        <v/>
      </c>
      <c r="R16" s="39">
        <f>PL!Q29</f>
        <v/>
      </c>
      <c r="S16" s="39">
        <f>PL!R29</f>
        <v/>
      </c>
      <c r="T16" s="39">
        <f>PL!S29</f>
        <v/>
      </c>
    </row>
    <row r="17" ht="18" customHeight="1">
      <c r="A17" s="4" t="inlineStr">
        <is>
          <t xml:space="preserve">  撮影ランニング（現金）</t>
        </is>
      </c>
      <c r="B17" s="21" t="n">
        <v>0</v>
      </c>
      <c r="C17" s="21">
        <f>前提!$B$27</f>
        <v/>
      </c>
      <c r="D17" s="21">
        <f>前提!$B$27</f>
        <v/>
      </c>
      <c r="E17" s="21">
        <f>前提!$B$27</f>
        <v/>
      </c>
      <c r="F17" s="21">
        <f>前提!$B$27</f>
        <v/>
      </c>
      <c r="G17" s="21">
        <f>前提!$B$27</f>
        <v/>
      </c>
      <c r="H17" s="21">
        <f>前提!$B$27</f>
        <v/>
      </c>
      <c r="I17" s="21">
        <f>前提!$B$27</f>
        <v/>
      </c>
      <c r="J17" s="21">
        <f>前提!$B$27</f>
        <v/>
      </c>
      <c r="K17" s="21">
        <f>前提!$B$27</f>
        <v/>
      </c>
      <c r="L17" s="21">
        <f>前提!$B$27</f>
        <v/>
      </c>
      <c r="M17" s="21">
        <f>前提!$B$27</f>
        <v/>
      </c>
      <c r="N17" s="27">
        <f>前提!$B$27</f>
        <v/>
      </c>
      <c r="O17" s="21">
        <f>前提!$B$27</f>
        <v/>
      </c>
      <c r="P17" s="21">
        <f>前提!$B$27</f>
        <v/>
      </c>
      <c r="Q17" s="21">
        <f>前提!$B$27</f>
        <v/>
      </c>
      <c r="R17" s="21">
        <f>前提!$B$27</f>
        <v/>
      </c>
      <c r="S17" s="21">
        <f>前提!$B$27</f>
        <v/>
      </c>
      <c r="T17" s="21">
        <f>前提!$B$27</f>
        <v/>
      </c>
    </row>
    <row r="18" ht="18" customHeight="1">
      <c r="A18" s="4" t="inlineStr">
        <is>
          <t xml:space="preserve">  年払い（Shopify+ドメイン）</t>
        </is>
      </c>
      <c r="B18" s="21">
        <f>前提!$B$33+前提!$B$34</f>
        <v/>
      </c>
      <c r="C18" s="21" t="n">
        <v>0</v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7">
        <f>前提!$B$33+前提!$B$34</f>
        <v/>
      </c>
      <c r="O18" s="21" t="n">
        <v>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</v>
      </c>
    </row>
    <row r="19" ht="18" customHeight="1">
      <c r="A19" s="4" t="inlineStr">
        <is>
          <t xml:space="preserve">  初期投資（撮影・資材・開業）</t>
        </is>
      </c>
      <c r="B19" s="21">
        <f>前提!$B$30+前提!$B$31+前提!$B$32</f>
        <v/>
      </c>
      <c r="C19" s="21" t="n">
        <v>0</v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7" t="n">
        <v>0</v>
      </c>
      <c r="O19" s="21" t="n">
        <v>0</v>
      </c>
      <c r="P19" s="21" t="n">
        <v>0</v>
      </c>
      <c r="Q19" s="21" t="n">
        <v>0</v>
      </c>
      <c r="R19" s="21" t="n">
        <v>0</v>
      </c>
      <c r="S19" s="21" t="n">
        <v>0</v>
      </c>
      <c r="T19" s="21" t="n">
        <v>0</v>
      </c>
    </row>
    <row r="20" ht="18" customHeight="1">
      <c r="A20" s="32" t="inlineStr">
        <is>
          <t>現金支出 合計</t>
        </is>
      </c>
      <c r="B20" s="35">
        <f>B11+B12+B13+B15+B16+B17+B18+B19</f>
        <v/>
      </c>
      <c r="C20" s="35">
        <f>C11+C12+C13+C15+C16+C17+C18+C19</f>
        <v/>
      </c>
      <c r="D20" s="35">
        <f>D11+D12+D13+D15+D16+D17+D18+D19</f>
        <v/>
      </c>
      <c r="E20" s="35">
        <f>E11+E12+E13+E15+E16+E17+E18+E19</f>
        <v/>
      </c>
      <c r="F20" s="35">
        <f>F11+F12+F13+F15+F16+F17+F18+F19</f>
        <v/>
      </c>
      <c r="G20" s="35">
        <f>G11+G12+G13+G15+G16+G17+G18+G19</f>
        <v/>
      </c>
      <c r="H20" s="35">
        <f>H11+H12+H13+H15+H16+H17+H18+H19</f>
        <v/>
      </c>
      <c r="I20" s="35">
        <f>I11+I12+I13+I15+I16+I17+I18+I19</f>
        <v/>
      </c>
      <c r="J20" s="35">
        <f>J11+J12+J13+J15+J16+J17+J18+J19</f>
        <v/>
      </c>
      <c r="K20" s="35">
        <f>K11+K12+K13+K15+K16+K17+K18+K19</f>
        <v/>
      </c>
      <c r="L20" s="35">
        <f>L11+L12+L13+L15+L16+L17+L18+L19</f>
        <v/>
      </c>
      <c r="M20" s="35">
        <f>M11+M12+M13+M15+M16+M17+M18+M19</f>
        <v/>
      </c>
      <c r="N20" s="36">
        <f>N11+N12+N13+N15+N16+N17+N18+N19</f>
        <v/>
      </c>
      <c r="O20" s="35">
        <f>O11+O12+O13+O15+O16+O17+O18+O19</f>
        <v/>
      </c>
      <c r="P20" s="35">
        <f>P11+P12+P13+P15+P16+P17+P18+P19</f>
        <v/>
      </c>
      <c r="Q20" s="35">
        <f>Q11+Q12+Q13+Q15+Q16+Q17+Q18+Q19</f>
        <v/>
      </c>
      <c r="R20" s="35">
        <f>R11+R12+R13+R15+R16+R17+R18+R19</f>
        <v/>
      </c>
      <c r="S20" s="35">
        <f>S11+S12+S13+S15+S16+S17+S18+S19</f>
        <v/>
      </c>
      <c r="T20" s="35">
        <f>T11+T12+T13+T15+T16+T17+T18+T19</f>
        <v/>
      </c>
    </row>
    <row r="21" ht="22" customHeight="1">
      <c r="A21" s="8" t="inlineStr">
        <is>
          <t>キャッシュフロー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26" t="n"/>
      <c r="O21" s="9" t="n"/>
      <c r="P21" s="9" t="n"/>
      <c r="Q21" s="9" t="n"/>
      <c r="R21" s="9" t="n"/>
      <c r="S21" s="9" t="n"/>
      <c r="T21" s="9" t="n"/>
    </row>
    <row r="22" ht="18" customHeight="1">
      <c r="A22" s="32" t="inlineStr">
        <is>
          <t>月次キャッシュフロー</t>
        </is>
      </c>
      <c r="B22" s="37">
        <f>B4-B20</f>
        <v/>
      </c>
      <c r="C22" s="37">
        <f>C4-C20</f>
        <v/>
      </c>
      <c r="D22" s="37">
        <f>D4-D20</f>
        <v/>
      </c>
      <c r="E22" s="37">
        <f>E4-E20</f>
        <v/>
      </c>
      <c r="F22" s="37">
        <f>F4-F20</f>
        <v/>
      </c>
      <c r="G22" s="37">
        <f>G4-G20</f>
        <v/>
      </c>
      <c r="H22" s="37">
        <f>H4-H20</f>
        <v/>
      </c>
      <c r="I22" s="37">
        <f>I4-I20</f>
        <v/>
      </c>
      <c r="J22" s="37">
        <f>J4-J20</f>
        <v/>
      </c>
      <c r="K22" s="37">
        <f>K4-K20</f>
        <v/>
      </c>
      <c r="L22" s="37">
        <f>L4-L20</f>
        <v/>
      </c>
      <c r="M22" s="37">
        <f>M4-M20</f>
        <v/>
      </c>
      <c r="N22" s="38">
        <f>N4-N20</f>
        <v/>
      </c>
      <c r="O22" s="37">
        <f>O4-O20</f>
        <v/>
      </c>
      <c r="P22" s="37">
        <f>P4-P20</f>
        <v/>
      </c>
      <c r="Q22" s="37">
        <f>Q4-Q20</f>
        <v/>
      </c>
      <c r="R22" s="37">
        <f>R4-R20</f>
        <v/>
      </c>
      <c r="S22" s="37">
        <f>S4-S20</f>
        <v/>
      </c>
      <c r="T22" s="37">
        <f>T4-T20</f>
        <v/>
      </c>
    </row>
    <row r="23" ht="18" customHeight="1">
      <c r="A23" s="32" t="inlineStr">
        <is>
          <t>累計キャッシュフロー</t>
        </is>
      </c>
      <c r="B23" s="23">
        <f>B22</f>
        <v/>
      </c>
      <c r="C23" s="23">
        <f>B23+C22</f>
        <v/>
      </c>
      <c r="D23" s="23">
        <f>C23+D22</f>
        <v/>
      </c>
      <c r="E23" s="23">
        <f>D23+E22</f>
        <v/>
      </c>
      <c r="F23" s="23">
        <f>E23+F22</f>
        <v/>
      </c>
      <c r="G23" s="23">
        <f>F23+G22</f>
        <v/>
      </c>
      <c r="H23" s="23">
        <f>G23+H22</f>
        <v/>
      </c>
      <c r="I23" s="23">
        <f>H23+I22</f>
        <v/>
      </c>
      <c r="J23" s="23">
        <f>I23+J22</f>
        <v/>
      </c>
      <c r="K23" s="23">
        <f>J23+K22</f>
        <v/>
      </c>
      <c r="L23" s="23">
        <f>K23+L22</f>
        <v/>
      </c>
      <c r="M23" s="23">
        <f>L23+M22</f>
        <v/>
      </c>
      <c r="N23" s="44">
        <f>M23+N22</f>
        <v/>
      </c>
      <c r="O23" s="23">
        <f>N23+O22</f>
        <v/>
      </c>
      <c r="P23" s="23">
        <f>O23+P22</f>
        <v/>
      </c>
      <c r="Q23" s="23">
        <f>P23+Q22</f>
        <v/>
      </c>
      <c r="R23" s="23">
        <f>Q23+R22</f>
        <v/>
      </c>
      <c r="S23" s="23">
        <f>R23+S22</f>
        <v/>
      </c>
      <c r="T23" s="23">
        <f>S23+T22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2026-07-14T07:53:16Z</dcterms:created>
  <dcterms:modified xsi:type="dcterms:W3CDTF">2026-07-14T07:53:16Z</dcterms:modified>
</cp:coreProperties>
</file>